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STN\Krishnan Sir\Monthly Report\Jan-26\GST Statistics Downloads 31st Jan 26\Downloads\GSTR 1\"/>
    </mc:Choice>
  </mc:AlternateContent>
  <xr:revisionPtr revIDLastSave="0" documentId="13_ncr:1_{9796D8D5-7A61-4B55-BAD9-0F91182C49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STR-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C48" i="2"/>
  <c r="P48" i="2"/>
  <c r="BD48" i="2"/>
  <c r="BB48" i="2"/>
  <c r="BA48" i="2"/>
  <c r="BE47" i="2"/>
  <c r="BC47" i="2"/>
  <c r="BE46" i="2"/>
  <c r="BC46" i="2"/>
  <c r="BE45" i="2"/>
  <c r="BC45" i="2"/>
  <c r="BE44" i="2"/>
  <c r="BC44" i="2"/>
  <c r="BE43" i="2"/>
  <c r="BC43" i="2"/>
  <c r="BE42" i="2"/>
  <c r="BC42" i="2"/>
  <c r="BE41" i="2"/>
  <c r="BC41" i="2"/>
  <c r="BE40" i="2"/>
  <c r="BC40" i="2"/>
  <c r="BE39" i="2"/>
  <c r="BC39" i="2"/>
  <c r="BE38" i="2"/>
  <c r="BC38" i="2"/>
  <c r="BE37" i="2"/>
  <c r="BC37" i="2"/>
  <c r="BE36" i="2"/>
  <c r="BC36" i="2"/>
  <c r="BE35" i="2"/>
  <c r="BC35" i="2"/>
  <c r="BE33" i="2"/>
  <c r="BC33" i="2"/>
  <c r="BE32" i="2"/>
  <c r="BC32" i="2"/>
  <c r="BE31" i="2"/>
  <c r="BC31" i="2"/>
  <c r="BE30" i="2"/>
  <c r="BC30" i="2"/>
  <c r="BE29" i="2"/>
  <c r="BC29" i="2"/>
  <c r="BE28" i="2"/>
  <c r="BC28" i="2"/>
  <c r="BE27" i="2"/>
  <c r="BC27" i="2"/>
  <c r="BE26" i="2"/>
  <c r="BC26" i="2"/>
  <c r="BE25" i="2"/>
  <c r="BC25" i="2"/>
  <c r="BE24" i="2"/>
  <c r="BC24" i="2"/>
  <c r="BE23" i="2"/>
  <c r="BC23" i="2"/>
  <c r="BE22" i="2"/>
  <c r="BC22" i="2"/>
  <c r="BE21" i="2"/>
  <c r="BC21" i="2"/>
  <c r="BE20" i="2"/>
  <c r="BC20" i="2"/>
  <c r="BE19" i="2"/>
  <c r="BC19" i="2"/>
  <c r="BE18" i="2"/>
  <c r="BC18" i="2"/>
  <c r="BE17" i="2"/>
  <c r="BC17" i="2"/>
  <c r="BE16" i="2"/>
  <c r="BC16" i="2"/>
  <c r="BE15" i="2"/>
  <c r="BC15" i="2"/>
  <c r="BE14" i="2"/>
  <c r="BC14" i="2"/>
  <c r="BE13" i="2"/>
  <c r="BC13" i="2"/>
  <c r="BE12" i="2"/>
  <c r="BC12" i="2"/>
  <c r="BE11" i="2"/>
  <c r="BC11" i="2"/>
  <c r="BE10" i="2"/>
  <c r="BC10" i="2"/>
  <c r="AY48" i="2"/>
  <c r="AW48" i="2"/>
  <c r="AV48" i="2"/>
  <c r="AZ47" i="2"/>
  <c r="AX47" i="2"/>
  <c r="AZ46" i="2"/>
  <c r="AX46" i="2"/>
  <c r="AZ45" i="2"/>
  <c r="AX45" i="2"/>
  <c r="AZ44" i="2"/>
  <c r="AX44" i="2"/>
  <c r="AZ43" i="2"/>
  <c r="AX43" i="2"/>
  <c r="AZ42" i="2"/>
  <c r="AX42" i="2"/>
  <c r="AZ41" i="2"/>
  <c r="AX41" i="2"/>
  <c r="AZ40" i="2"/>
  <c r="AX40" i="2"/>
  <c r="AZ39" i="2"/>
  <c r="AX39" i="2"/>
  <c r="AZ38" i="2"/>
  <c r="AX38" i="2"/>
  <c r="AZ37" i="2"/>
  <c r="AX37" i="2"/>
  <c r="AZ36" i="2"/>
  <c r="AX36" i="2"/>
  <c r="AZ35" i="2"/>
  <c r="AX35" i="2"/>
  <c r="AZ33" i="2"/>
  <c r="AX33" i="2"/>
  <c r="AZ32" i="2"/>
  <c r="AX32" i="2"/>
  <c r="AZ31" i="2"/>
  <c r="AX31" i="2"/>
  <c r="AZ30" i="2"/>
  <c r="AX30" i="2"/>
  <c r="AZ29" i="2"/>
  <c r="AX29" i="2"/>
  <c r="AZ28" i="2"/>
  <c r="AX28" i="2"/>
  <c r="AZ27" i="2"/>
  <c r="AX27" i="2"/>
  <c r="AZ26" i="2"/>
  <c r="AX26" i="2"/>
  <c r="AZ25" i="2"/>
  <c r="AX25" i="2"/>
  <c r="AZ24" i="2"/>
  <c r="AX24" i="2"/>
  <c r="AZ23" i="2"/>
  <c r="AX23" i="2"/>
  <c r="AZ22" i="2"/>
  <c r="AX22" i="2"/>
  <c r="AZ21" i="2"/>
  <c r="AX21" i="2"/>
  <c r="AZ20" i="2"/>
  <c r="AX20" i="2"/>
  <c r="AZ19" i="2"/>
  <c r="AX19" i="2"/>
  <c r="AZ18" i="2"/>
  <c r="AX18" i="2"/>
  <c r="AZ17" i="2"/>
  <c r="AX17" i="2"/>
  <c r="AZ16" i="2"/>
  <c r="AX16" i="2"/>
  <c r="AZ15" i="2"/>
  <c r="AX15" i="2"/>
  <c r="AZ14" i="2"/>
  <c r="AX14" i="2"/>
  <c r="AZ13" i="2"/>
  <c r="AX13" i="2"/>
  <c r="AZ12" i="2"/>
  <c r="AX12" i="2"/>
  <c r="AZ11" i="2"/>
  <c r="AX11" i="2"/>
  <c r="AZ10" i="2"/>
  <c r="AX10" i="2"/>
  <c r="BF48" i="2"/>
  <c r="BC48" i="2" l="1"/>
  <c r="BE48" i="2"/>
  <c r="AX48" i="2"/>
  <c r="AZ48" i="2"/>
  <c r="AT48" i="2"/>
  <c r="AR48" i="2"/>
  <c r="AQ48" i="2"/>
  <c r="AU47" i="2"/>
  <c r="AS47" i="2"/>
  <c r="AU46" i="2"/>
  <c r="AS46" i="2"/>
  <c r="AU45" i="2"/>
  <c r="AS45" i="2"/>
  <c r="AU44" i="2"/>
  <c r="AS44" i="2"/>
  <c r="AU43" i="2"/>
  <c r="AS43" i="2"/>
  <c r="AU42" i="2"/>
  <c r="AS42" i="2"/>
  <c r="AU41" i="2"/>
  <c r="AS41" i="2"/>
  <c r="AU40" i="2"/>
  <c r="AS40" i="2"/>
  <c r="AU39" i="2"/>
  <c r="AS39" i="2"/>
  <c r="AU38" i="2"/>
  <c r="AS38" i="2"/>
  <c r="AU37" i="2"/>
  <c r="AS37" i="2"/>
  <c r="AU36" i="2"/>
  <c r="AS36" i="2"/>
  <c r="AU35" i="2"/>
  <c r="AS35" i="2"/>
  <c r="AU33" i="2"/>
  <c r="AS33" i="2"/>
  <c r="AU32" i="2"/>
  <c r="AS32" i="2"/>
  <c r="AU31" i="2"/>
  <c r="AS31" i="2"/>
  <c r="AU30" i="2"/>
  <c r="AS30" i="2"/>
  <c r="AU29" i="2"/>
  <c r="AS29" i="2"/>
  <c r="AU28" i="2"/>
  <c r="AS28" i="2"/>
  <c r="AU27" i="2"/>
  <c r="AS27" i="2"/>
  <c r="AU26" i="2"/>
  <c r="AS26" i="2"/>
  <c r="AU25" i="2"/>
  <c r="AS25" i="2"/>
  <c r="AU24" i="2"/>
  <c r="AS24" i="2"/>
  <c r="AU23" i="2"/>
  <c r="AS23" i="2"/>
  <c r="AU22" i="2"/>
  <c r="AS22" i="2"/>
  <c r="AU21" i="2"/>
  <c r="AS21" i="2"/>
  <c r="AU20" i="2"/>
  <c r="AS20" i="2"/>
  <c r="AU19" i="2"/>
  <c r="AS19" i="2"/>
  <c r="AU18" i="2"/>
  <c r="AS18" i="2"/>
  <c r="AU17" i="2"/>
  <c r="AS17" i="2"/>
  <c r="AU16" i="2"/>
  <c r="AS16" i="2"/>
  <c r="AU15" i="2"/>
  <c r="AS15" i="2"/>
  <c r="AU14" i="2"/>
  <c r="AS14" i="2"/>
  <c r="AU13" i="2"/>
  <c r="AS13" i="2"/>
  <c r="AU12" i="2"/>
  <c r="AS12" i="2"/>
  <c r="AU11" i="2"/>
  <c r="AS11" i="2"/>
  <c r="AU10" i="2"/>
  <c r="AS10" i="2"/>
  <c r="AO48" i="2"/>
  <c r="AM48" i="2"/>
  <c r="AL48" i="2"/>
  <c r="AP47" i="2"/>
  <c r="AN47" i="2"/>
  <c r="AP46" i="2"/>
  <c r="AN46" i="2"/>
  <c r="AP45" i="2"/>
  <c r="AN45" i="2"/>
  <c r="AP44" i="2"/>
  <c r="AN44" i="2"/>
  <c r="AP43" i="2"/>
  <c r="AN43" i="2"/>
  <c r="AP42" i="2"/>
  <c r="AN42" i="2"/>
  <c r="AP41" i="2"/>
  <c r="AN41" i="2"/>
  <c r="AP40" i="2"/>
  <c r="AN40" i="2"/>
  <c r="AP39" i="2"/>
  <c r="AN39" i="2"/>
  <c r="AP38" i="2"/>
  <c r="AN38" i="2"/>
  <c r="AP37" i="2"/>
  <c r="AN37" i="2"/>
  <c r="AP36" i="2"/>
  <c r="AN36" i="2"/>
  <c r="AP35" i="2"/>
  <c r="AN35" i="2"/>
  <c r="AP33" i="2"/>
  <c r="AN33" i="2"/>
  <c r="AP32" i="2"/>
  <c r="AN32" i="2"/>
  <c r="AP31" i="2"/>
  <c r="AN31" i="2"/>
  <c r="AP30" i="2"/>
  <c r="AN30" i="2"/>
  <c r="AP29" i="2"/>
  <c r="AN29" i="2"/>
  <c r="AP28" i="2"/>
  <c r="AN28" i="2"/>
  <c r="AP27" i="2"/>
  <c r="AN27" i="2"/>
  <c r="AP26" i="2"/>
  <c r="AN26" i="2"/>
  <c r="AP25" i="2"/>
  <c r="AN25" i="2"/>
  <c r="AP24" i="2"/>
  <c r="AN24" i="2"/>
  <c r="AP23" i="2"/>
  <c r="AN23" i="2"/>
  <c r="AP22" i="2"/>
  <c r="AN22" i="2"/>
  <c r="AP21" i="2"/>
  <c r="AN21" i="2"/>
  <c r="AP20" i="2"/>
  <c r="AN20" i="2"/>
  <c r="AP19" i="2"/>
  <c r="AN19" i="2"/>
  <c r="AP18" i="2"/>
  <c r="AN18" i="2"/>
  <c r="AP17" i="2"/>
  <c r="AN17" i="2"/>
  <c r="AP16" i="2"/>
  <c r="AN16" i="2"/>
  <c r="AP15" i="2"/>
  <c r="AN15" i="2"/>
  <c r="AP14" i="2"/>
  <c r="AN14" i="2"/>
  <c r="AP13" i="2"/>
  <c r="AN13" i="2"/>
  <c r="AP12" i="2"/>
  <c r="AN12" i="2"/>
  <c r="AP11" i="2"/>
  <c r="AN11" i="2"/>
  <c r="AP10" i="2"/>
  <c r="AN10" i="2"/>
  <c r="AU48" i="2" l="1"/>
  <c r="AP48" i="2"/>
  <c r="AS48" i="2"/>
  <c r="AN48" i="2"/>
  <c r="AJ48" i="2"/>
  <c r="AH48" i="2"/>
  <c r="AG48" i="2"/>
  <c r="AK47" i="2"/>
  <c r="AI47" i="2"/>
  <c r="AK46" i="2"/>
  <c r="AI46" i="2"/>
  <c r="AK45" i="2"/>
  <c r="AI45" i="2"/>
  <c r="AK44" i="2"/>
  <c r="AI44" i="2"/>
  <c r="AK43" i="2"/>
  <c r="AI43" i="2"/>
  <c r="AK42" i="2"/>
  <c r="AI42" i="2"/>
  <c r="AK41" i="2"/>
  <c r="AI41" i="2"/>
  <c r="AK40" i="2"/>
  <c r="AI40" i="2"/>
  <c r="AK39" i="2"/>
  <c r="AI39" i="2"/>
  <c r="AK38" i="2"/>
  <c r="AI38" i="2"/>
  <c r="AK37" i="2"/>
  <c r="AI37" i="2"/>
  <c r="AK36" i="2"/>
  <c r="AI36" i="2"/>
  <c r="AK35" i="2"/>
  <c r="AI35" i="2"/>
  <c r="AK33" i="2"/>
  <c r="AI33" i="2"/>
  <c r="AK32" i="2"/>
  <c r="AI32" i="2"/>
  <c r="AK31" i="2"/>
  <c r="AI31" i="2"/>
  <c r="AK30" i="2"/>
  <c r="AI30" i="2"/>
  <c r="AK29" i="2"/>
  <c r="AI29" i="2"/>
  <c r="AK28" i="2"/>
  <c r="AI28" i="2"/>
  <c r="AK27" i="2"/>
  <c r="AI27" i="2"/>
  <c r="AK26" i="2"/>
  <c r="AI26" i="2"/>
  <c r="AK25" i="2"/>
  <c r="AI25" i="2"/>
  <c r="AK24" i="2"/>
  <c r="AI24" i="2"/>
  <c r="AK23" i="2"/>
  <c r="AI23" i="2"/>
  <c r="AK22" i="2"/>
  <c r="AI22" i="2"/>
  <c r="AK21" i="2"/>
  <c r="AI21" i="2"/>
  <c r="AK20" i="2"/>
  <c r="AI20" i="2"/>
  <c r="AK19" i="2"/>
  <c r="AI19" i="2"/>
  <c r="AK18" i="2"/>
  <c r="AI18" i="2"/>
  <c r="AK17" i="2"/>
  <c r="AI17" i="2"/>
  <c r="AK16" i="2"/>
  <c r="AI16" i="2"/>
  <c r="AK15" i="2"/>
  <c r="AI15" i="2"/>
  <c r="AK14" i="2"/>
  <c r="AI14" i="2"/>
  <c r="AK13" i="2"/>
  <c r="AI13" i="2"/>
  <c r="AK12" i="2"/>
  <c r="AI12" i="2"/>
  <c r="AK11" i="2"/>
  <c r="AI11" i="2"/>
  <c r="AK10" i="2"/>
  <c r="AI10" i="2"/>
  <c r="AI48" i="2" l="1"/>
  <c r="AK48" i="2"/>
  <c r="AE48" i="2"/>
  <c r="AC48" i="2"/>
  <c r="AB48" i="2"/>
  <c r="AF47" i="2"/>
  <c r="AD47" i="2"/>
  <c r="AF46" i="2"/>
  <c r="AD46" i="2"/>
  <c r="AF45" i="2"/>
  <c r="AD45" i="2"/>
  <c r="AF44" i="2"/>
  <c r="AD44" i="2"/>
  <c r="AF43" i="2"/>
  <c r="AD43" i="2"/>
  <c r="AF42" i="2"/>
  <c r="AD42" i="2"/>
  <c r="AF41" i="2"/>
  <c r="AD41" i="2"/>
  <c r="AF40" i="2"/>
  <c r="AD40" i="2"/>
  <c r="AF39" i="2"/>
  <c r="AD39" i="2"/>
  <c r="AF38" i="2"/>
  <c r="AD38" i="2"/>
  <c r="AF37" i="2"/>
  <c r="AD37" i="2"/>
  <c r="AF36" i="2"/>
  <c r="AD36" i="2"/>
  <c r="AF35" i="2"/>
  <c r="AD35" i="2"/>
  <c r="AF33" i="2"/>
  <c r="AD33" i="2"/>
  <c r="AF32" i="2"/>
  <c r="AD32" i="2"/>
  <c r="AF31" i="2"/>
  <c r="AD31" i="2"/>
  <c r="AF30" i="2"/>
  <c r="AD30" i="2"/>
  <c r="AF29" i="2"/>
  <c r="AD29" i="2"/>
  <c r="AF28" i="2"/>
  <c r="AD28" i="2"/>
  <c r="AF27" i="2"/>
  <c r="AD27" i="2"/>
  <c r="AF26" i="2"/>
  <c r="AD26" i="2"/>
  <c r="AF25" i="2"/>
  <c r="AD25" i="2"/>
  <c r="AF24" i="2"/>
  <c r="AD24" i="2"/>
  <c r="AF23" i="2"/>
  <c r="AD23" i="2"/>
  <c r="AF22" i="2"/>
  <c r="AD22" i="2"/>
  <c r="AF21" i="2"/>
  <c r="AD21" i="2"/>
  <c r="AF20" i="2"/>
  <c r="AD20" i="2"/>
  <c r="AF19" i="2"/>
  <c r="AD19" i="2"/>
  <c r="AF18" i="2"/>
  <c r="AD18" i="2"/>
  <c r="AF17" i="2"/>
  <c r="AD17" i="2"/>
  <c r="AF16" i="2"/>
  <c r="AD16" i="2"/>
  <c r="AF15" i="2"/>
  <c r="AD15" i="2"/>
  <c r="AF14" i="2"/>
  <c r="AD14" i="2"/>
  <c r="AF13" i="2"/>
  <c r="AD13" i="2"/>
  <c r="AF12" i="2"/>
  <c r="AD12" i="2"/>
  <c r="AF11" i="2"/>
  <c r="AD11" i="2"/>
  <c r="AF10" i="2"/>
  <c r="AD10" i="2"/>
  <c r="AD48" i="2" l="1"/>
  <c r="AF48" i="2"/>
  <c r="Z48" i="2" l="1"/>
  <c r="X48" i="2"/>
  <c r="W48" i="2"/>
  <c r="AA47" i="2"/>
  <c r="Y47" i="2"/>
  <c r="AA46" i="2"/>
  <c r="Y46" i="2"/>
  <c r="AA45" i="2"/>
  <c r="Y45" i="2"/>
  <c r="AA44" i="2"/>
  <c r="Y44" i="2"/>
  <c r="AA43" i="2"/>
  <c r="Y43" i="2"/>
  <c r="AA42" i="2"/>
  <c r="Y42" i="2"/>
  <c r="AA41" i="2"/>
  <c r="Y41" i="2"/>
  <c r="AA40" i="2"/>
  <c r="Y40" i="2"/>
  <c r="AA39" i="2"/>
  <c r="Y39" i="2"/>
  <c r="AA38" i="2"/>
  <c r="Y38" i="2"/>
  <c r="AA37" i="2"/>
  <c r="Y37" i="2"/>
  <c r="AA36" i="2"/>
  <c r="Y36" i="2"/>
  <c r="AA35" i="2"/>
  <c r="Y35" i="2"/>
  <c r="AA33" i="2"/>
  <c r="Y33" i="2"/>
  <c r="AA32" i="2"/>
  <c r="Y32" i="2"/>
  <c r="AA31" i="2"/>
  <c r="Y31" i="2"/>
  <c r="AA30" i="2"/>
  <c r="Y30" i="2"/>
  <c r="AA29" i="2"/>
  <c r="Y29" i="2"/>
  <c r="AA28" i="2"/>
  <c r="Y28" i="2"/>
  <c r="AA27" i="2"/>
  <c r="Y27" i="2"/>
  <c r="AA26" i="2"/>
  <c r="Y26" i="2"/>
  <c r="AA25" i="2"/>
  <c r="Y25" i="2"/>
  <c r="AA24" i="2"/>
  <c r="Y24" i="2"/>
  <c r="AA23" i="2"/>
  <c r="Y23" i="2"/>
  <c r="AA22" i="2"/>
  <c r="Y22" i="2"/>
  <c r="AA21" i="2"/>
  <c r="Y21" i="2"/>
  <c r="AA20" i="2"/>
  <c r="Y20" i="2"/>
  <c r="AA19" i="2"/>
  <c r="Y19" i="2"/>
  <c r="AA18" i="2"/>
  <c r="Y18" i="2"/>
  <c r="AA17" i="2"/>
  <c r="Y17" i="2"/>
  <c r="AA16" i="2"/>
  <c r="Y16" i="2"/>
  <c r="AA15" i="2"/>
  <c r="Y15" i="2"/>
  <c r="AA14" i="2"/>
  <c r="Y14" i="2"/>
  <c r="AA13" i="2"/>
  <c r="Y13" i="2"/>
  <c r="AA12" i="2"/>
  <c r="Y12" i="2"/>
  <c r="AA11" i="2"/>
  <c r="Y11" i="2"/>
  <c r="AA10" i="2"/>
  <c r="Y10" i="2"/>
  <c r="AA48" i="2" l="1"/>
  <c r="Y48" i="2"/>
  <c r="BI48" i="2" l="1"/>
  <c r="BG48" i="2"/>
  <c r="BJ47" i="2"/>
  <c r="BH47" i="2"/>
  <c r="BJ46" i="2"/>
  <c r="BH46" i="2"/>
  <c r="BJ45" i="2"/>
  <c r="BH45" i="2"/>
  <c r="BJ44" i="2"/>
  <c r="BH44" i="2"/>
  <c r="BJ43" i="2"/>
  <c r="BH43" i="2"/>
  <c r="BJ42" i="2"/>
  <c r="BH42" i="2"/>
  <c r="BJ41" i="2"/>
  <c r="BH41" i="2"/>
  <c r="BJ40" i="2"/>
  <c r="BH40" i="2"/>
  <c r="BJ39" i="2"/>
  <c r="BH39" i="2"/>
  <c r="BJ38" i="2"/>
  <c r="BH38" i="2"/>
  <c r="BJ37" i="2"/>
  <c r="BH37" i="2"/>
  <c r="BJ36" i="2"/>
  <c r="BH36" i="2"/>
  <c r="BJ35" i="2"/>
  <c r="BH35" i="2"/>
  <c r="BJ33" i="2"/>
  <c r="BH33" i="2"/>
  <c r="BJ32" i="2"/>
  <c r="BH32" i="2"/>
  <c r="BJ31" i="2"/>
  <c r="BH31" i="2"/>
  <c r="BJ30" i="2"/>
  <c r="BH30" i="2"/>
  <c r="BJ29" i="2"/>
  <c r="BH29" i="2"/>
  <c r="BJ28" i="2"/>
  <c r="BH28" i="2"/>
  <c r="BJ27" i="2"/>
  <c r="BH27" i="2"/>
  <c r="BJ26" i="2"/>
  <c r="BH26" i="2"/>
  <c r="BJ25" i="2"/>
  <c r="BH25" i="2"/>
  <c r="BJ24" i="2"/>
  <c r="BH24" i="2"/>
  <c r="BJ23" i="2"/>
  <c r="BH23" i="2"/>
  <c r="BJ22" i="2"/>
  <c r="BH22" i="2"/>
  <c r="BJ21" i="2"/>
  <c r="BH21" i="2"/>
  <c r="BJ20" i="2"/>
  <c r="BH20" i="2"/>
  <c r="BJ19" i="2"/>
  <c r="BH19" i="2"/>
  <c r="BJ18" i="2"/>
  <c r="BH18" i="2"/>
  <c r="BJ17" i="2"/>
  <c r="BH17" i="2"/>
  <c r="BJ16" i="2"/>
  <c r="BH16" i="2"/>
  <c r="BJ15" i="2"/>
  <c r="BH15" i="2"/>
  <c r="BJ14" i="2"/>
  <c r="BH14" i="2"/>
  <c r="BJ13" i="2"/>
  <c r="BH13" i="2"/>
  <c r="BJ12" i="2"/>
  <c r="BH12" i="2"/>
  <c r="BJ11" i="2"/>
  <c r="BH11" i="2"/>
  <c r="BJ10" i="2"/>
  <c r="BH10" i="2"/>
  <c r="BJ48" i="2" l="1"/>
  <c r="BH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N48" i="2"/>
  <c r="M48" i="2"/>
  <c r="Q47" i="2"/>
  <c r="O47" i="2"/>
  <c r="Q46" i="2"/>
  <c r="O46" i="2"/>
  <c r="Q45" i="2"/>
  <c r="O45" i="2"/>
  <c r="Q44" i="2"/>
  <c r="O44" i="2"/>
  <c r="Q43" i="2"/>
  <c r="O43" i="2"/>
  <c r="Q42" i="2"/>
  <c r="O42" i="2"/>
  <c r="Q41" i="2"/>
  <c r="O41" i="2"/>
  <c r="Q40" i="2"/>
  <c r="O40" i="2"/>
  <c r="Q39" i="2"/>
  <c r="O39" i="2"/>
  <c r="Q38" i="2"/>
  <c r="O38" i="2"/>
  <c r="Q37" i="2"/>
  <c r="O37" i="2"/>
  <c r="Q36" i="2"/>
  <c r="O36" i="2"/>
  <c r="Q35" i="2"/>
  <c r="O35" i="2"/>
  <c r="Q33" i="2"/>
  <c r="O33" i="2"/>
  <c r="Q32" i="2"/>
  <c r="O32" i="2"/>
  <c r="Q31" i="2"/>
  <c r="O31" i="2"/>
  <c r="Q30" i="2"/>
  <c r="O30" i="2"/>
  <c r="Q29" i="2"/>
  <c r="O29" i="2"/>
  <c r="Q28" i="2"/>
  <c r="O28" i="2"/>
  <c r="Q27" i="2"/>
  <c r="O27" i="2"/>
  <c r="Q26" i="2"/>
  <c r="O26" i="2"/>
  <c r="Q25" i="2"/>
  <c r="O25" i="2"/>
  <c r="Q24" i="2"/>
  <c r="O24" i="2"/>
  <c r="Q23" i="2"/>
  <c r="O23" i="2"/>
  <c r="Q22" i="2"/>
  <c r="O22" i="2"/>
  <c r="Q21" i="2"/>
  <c r="O21" i="2"/>
  <c r="Q20" i="2"/>
  <c r="O20" i="2"/>
  <c r="Q19" i="2"/>
  <c r="O19" i="2"/>
  <c r="Q18" i="2"/>
  <c r="O18" i="2"/>
  <c r="Q17" i="2"/>
  <c r="O17" i="2"/>
  <c r="Q16" i="2"/>
  <c r="O16" i="2"/>
  <c r="Q15" i="2"/>
  <c r="O15" i="2"/>
  <c r="Q14" i="2"/>
  <c r="O14" i="2"/>
  <c r="Q13" i="2"/>
  <c r="O13" i="2"/>
  <c r="Q12" i="2"/>
  <c r="O12" i="2"/>
  <c r="Q11" i="2"/>
  <c r="O11" i="2"/>
  <c r="Q10" i="2"/>
  <c r="O10" i="2"/>
  <c r="O48" i="2" l="1"/>
  <c r="Q48" i="2"/>
  <c r="K48" i="2"/>
  <c r="I48" i="2"/>
  <c r="H48" i="2"/>
  <c r="L47" i="2"/>
  <c r="J47" i="2"/>
  <c r="L46" i="2"/>
  <c r="J46" i="2"/>
  <c r="L45" i="2"/>
  <c r="J45" i="2"/>
  <c r="L44" i="2"/>
  <c r="J44" i="2"/>
  <c r="L43" i="2"/>
  <c r="J43" i="2"/>
  <c r="L42" i="2"/>
  <c r="J42" i="2"/>
  <c r="L41" i="2"/>
  <c r="J41" i="2"/>
  <c r="L40" i="2"/>
  <c r="J40" i="2"/>
  <c r="L39" i="2"/>
  <c r="J39" i="2"/>
  <c r="L38" i="2"/>
  <c r="J38" i="2"/>
  <c r="L37" i="2"/>
  <c r="J37" i="2"/>
  <c r="L36" i="2"/>
  <c r="J36" i="2"/>
  <c r="L35" i="2"/>
  <c r="J35" i="2"/>
  <c r="L33" i="2"/>
  <c r="J33" i="2"/>
  <c r="L32" i="2"/>
  <c r="J32" i="2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J48" i="2" l="1"/>
  <c r="L48" i="2"/>
  <c r="U48" i="2"/>
  <c r="S48" i="2"/>
  <c r="R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T48" i="2" l="1"/>
  <c r="V48" i="2"/>
  <c r="D48" i="2"/>
  <c r="E11" i="2" l="1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F48" i="2" l="1"/>
  <c r="E10" i="2"/>
  <c r="G48" i="2" l="1"/>
  <c r="E48" i="2"/>
</calcChain>
</file>

<file path=xl/sharedStrings.xml><?xml version="1.0" encoding="utf-8"?>
<sst xmlns="http://schemas.openxmlformats.org/spreadsheetml/2006/main" count="128" uniqueCount="50">
  <si>
    <t>STATE WISE RETURN PERIOD WISE GSTR-1 FILING SUMMARY</t>
  </si>
  <si>
    <t>STATE</t>
  </si>
  <si>
    <t>No. of Tax Payers eligible to File</t>
  </si>
  <si>
    <t>No. Tax Payers filed by Due Date</t>
  </si>
  <si>
    <t>No. of Tax Payers filed after due date</t>
  </si>
  <si>
    <t>Total Returns Filed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</si>
  <si>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</si>
  <si>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</si>
  <si>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</si>
  <si>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</si>
  <si>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</si>
  <si>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</si>
  <si>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</si>
  <si>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</si>
  <si>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</si>
  <si>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</si>
  <si>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</si>
  <si>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</si>
  <si>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</si>
  <si>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</si>
  <si>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</si>
  <si>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</si>
  <si>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</si>
  <si>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</si>
  <si>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</si>
  <si>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</si>
  <si>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</si>
  <si>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</si>
  <si>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</si>
  <si>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</si>
  <si>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</si>
  <si>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</si>
  <si>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</si>
  <si>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</si>
  <si>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</si>
  <si>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</si>
  <si>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</si>
  <si>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</si>
  <si>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</si>
  <si>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</si>
  <si>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Grand Total</t>
  </si>
  <si>
    <t>-</t>
  </si>
  <si>
    <t>FINANCIAL YEAR 2023-2024</t>
  </si>
  <si>
    <t>Chhattisgarh</t>
  </si>
  <si>
    <t>Gujarat</t>
  </si>
  <si>
    <t>Maharashtra</t>
  </si>
  <si>
    <t>Andaman and Nicobar Islands</t>
  </si>
  <si>
    <t>STATE 
CD</t>
  </si>
  <si>
    <t>Data Considered upto 31st Jan 2026</t>
  </si>
  <si>
    <t>Filing %age as on 31st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</si>
</sst>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[&gt;=10000000]##\,##\,##\,##0;[&gt;=100000]\ ##\,##\,##0;##,##0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5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1" applyNumberFormat="1" applyFont="1" applyFill="1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10" fontId="4" fillId="2" borderId="1" xfId="1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 applyAlignment="1">
      <alignment horizontal="right" vertical="center" wrapText="1"/>
    </xf>
    <xf numFmtId="165" fontId="4" fillId="2" borderId="1" xfId="0" applyNumberFormat="1" applyFont="1" applyFill="1" applyBorder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6" fontId="0" fillId="0" borderId="1" xfId="7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17" fontId="2" fillId="2" borderId="3" xfId="0" applyNumberFormat="1" applyFont="1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8">
    <cellStyle name="Comma" xfId="7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8"/>
  <sheetViews>
    <sheetView tabSelected="1" zoomScale="55" zoomScaleNormal="55" workbookViewId="0">
      <selection activeCell="B40" sqref="B40"/>
    </sheetView>
  </sheetViews>
  <sheetFormatPr defaultColWidth="8.77734375" defaultRowHeight="14.4" x14ac:dyDescent="0.3"/>
  <cols>
    <col min="1" max="1" width="10.44140625" customWidth="1"/>
    <col min="2" max="2" width="26.77734375" bestFit="1" customWidth="1"/>
    <col min="3" max="3" width="24.21875" customWidth="1"/>
    <col min="4" max="7" width="18.77734375" customWidth="1"/>
    <col min="8" max="62" width="19.5546875" customWidth="1"/>
  </cols>
  <sheetData>
    <row r="1" spans="1:62" ht="15.6" x14ac:dyDescent="0.3">
      <c r="A1" s="21" t="s">
        <v>0</v>
      </c>
      <c r="B1" s="21"/>
      <c r="C1" s="21"/>
      <c r="D1" s="21"/>
      <c r="E1" s="21"/>
    </row>
    <row r="2" spans="1:62" ht="15.6" x14ac:dyDescent="0.3">
      <c r="A2" s="1"/>
      <c r="B2" s="1"/>
      <c r="C2" s="1"/>
      <c r="D2" s="1"/>
      <c r="E2" s="1"/>
      <c r="F2" s="1"/>
      <c r="G2" s="1"/>
    </row>
    <row r="3" spans="1:62" ht="15.6" x14ac:dyDescent="0.3">
      <c r="A3" s="15" t="s">
        <v>42</v>
      </c>
      <c r="B3" s="15"/>
      <c r="C3" s="1"/>
      <c r="D3" s="1"/>
      <c r="E3" s="1"/>
      <c r="F3" s="1"/>
      <c r="G3" s="1"/>
    </row>
    <row r="4" spans="1:62" ht="15.6" x14ac:dyDescent="0.3">
      <c r="A4" s="1"/>
      <c r="B4" s="1"/>
      <c r="C4" s="1"/>
      <c r="D4" s="1"/>
      <c r="E4" s="1"/>
      <c r="F4" s="1"/>
      <c r="G4" s="1"/>
    </row>
    <row r="5" spans="1:62" ht="15.6" x14ac:dyDescent="0.3">
      <c r="A5" s="15" t="s">
        <v>48</v>
      </c>
      <c r="B5" s="15"/>
      <c r="C5" s="15"/>
    </row>
    <row r="8" spans="1:62" s="9" customFormat="1" ht="15.6" x14ac:dyDescent="0.3">
      <c r="A8" s="16" t="s">
        <v>47</v>
      </c>
      <c r="B8" s="17" t="s">
        <v>1</v>
      </c>
      <c r="C8" s="18">
        <v>45017</v>
      </c>
      <c r="D8" s="19"/>
      <c r="E8" s="19"/>
      <c r="F8" s="19"/>
      <c r="G8" s="20"/>
      <c r="H8" s="18">
        <v>45047</v>
      </c>
      <c r="I8" s="19"/>
      <c r="J8" s="19"/>
      <c r="K8" s="19"/>
      <c r="L8" s="20"/>
      <c r="M8" s="18">
        <v>45078</v>
      </c>
      <c r="N8" s="19"/>
      <c r="O8" s="19"/>
      <c r="P8" s="19"/>
      <c r="Q8" s="20"/>
      <c r="R8" s="18">
        <v>45108</v>
      </c>
      <c r="S8" s="19"/>
      <c r="T8" s="19"/>
      <c r="U8" s="19"/>
      <c r="V8" s="20"/>
      <c r="W8" s="18">
        <v>45139</v>
      </c>
      <c r="X8" s="19"/>
      <c r="Y8" s="19"/>
      <c r="Z8" s="19"/>
      <c r="AA8" s="20"/>
      <c r="AB8" s="18">
        <v>45170</v>
      </c>
      <c r="AC8" s="19"/>
      <c r="AD8" s="19"/>
      <c r="AE8" s="19"/>
      <c r="AF8" s="20"/>
      <c r="AG8" s="18">
        <v>45200</v>
      </c>
      <c r="AH8" s="19"/>
      <c r="AI8" s="19"/>
      <c r="AJ8" s="19"/>
      <c r="AK8" s="20"/>
      <c r="AL8" s="18">
        <v>45231</v>
      </c>
      <c r="AM8" s="19"/>
      <c r="AN8" s="19"/>
      <c r="AO8" s="19"/>
      <c r="AP8" s="20"/>
      <c r="AQ8" s="18">
        <v>45261</v>
      </c>
      <c r="AR8" s="19"/>
      <c r="AS8" s="19"/>
      <c r="AT8" s="19"/>
      <c r="AU8" s="20"/>
      <c r="AV8" s="18">
        <v>45292</v>
      </c>
      <c r="AW8" s="19"/>
      <c r="AX8" s="19"/>
      <c r="AY8" s="19"/>
      <c r="AZ8" s="20"/>
      <c r="BA8" s="18">
        <v>45323</v>
      </c>
      <c r="BB8" s="19"/>
      <c r="BC8" s="19"/>
      <c r="BD8" s="19"/>
      <c r="BE8" s="20"/>
      <c r="BF8" s="18">
        <v>45352</v>
      </c>
      <c r="BG8" s="19"/>
      <c r="BH8" s="19"/>
      <c r="BI8" s="19"/>
      <c r="BJ8" s="20"/>
    </row>
    <row r="9" spans="1:62" s="9" customFormat="1" ht="46.8" x14ac:dyDescent="0.3">
      <c r="A9" s="17"/>
      <c r="B9" s="17"/>
      <c r="C9" s="12" t="s">
        <v>2</v>
      </c>
      <c r="D9" s="12" t="s">
        <v>3</v>
      </c>
      <c r="E9" s="12" t="s">
        <v>4</v>
      </c>
      <c r="F9" s="12" t="s">
        <v>5</v>
      </c>
      <c r="G9" s="12" t="s">
        <v>49</v>
      </c>
      <c r="H9" s="12" t="s">
        <v>2</v>
      </c>
      <c r="I9" s="12" t="s">
        <v>3</v>
      </c>
      <c r="J9" s="12" t="s">
        <v>4</v>
      </c>
      <c r="K9" s="12" t="s">
        <v>5</v>
      </c>
      <c r="L9" s="12" t="s">
        <v>49</v>
      </c>
      <c r="M9" s="12" t="s">
        <v>2</v>
      </c>
      <c r="N9" s="12" t="s">
        <v>3</v>
      </c>
      <c r="O9" s="12" t="s">
        <v>4</v>
      </c>
      <c r="P9" s="12" t="s">
        <v>5</v>
      </c>
      <c r="Q9" s="12" t="s">
        <v>49</v>
      </c>
      <c r="R9" s="12" t="s">
        <v>2</v>
      </c>
      <c r="S9" s="12" t="s">
        <v>3</v>
      </c>
      <c r="T9" s="12" t="s">
        <v>4</v>
      </c>
      <c r="U9" s="12" t="s">
        <v>5</v>
      </c>
      <c r="V9" s="12" t="s">
        <v>49</v>
      </c>
      <c r="W9" s="12" t="s">
        <v>2</v>
      </c>
      <c r="X9" s="12" t="s">
        <v>3</v>
      </c>
      <c r="Y9" s="12" t="s">
        <v>4</v>
      </c>
      <c r="Z9" s="12" t="s">
        <v>5</v>
      </c>
      <c r="AA9" s="12" t="s">
        <v>49</v>
      </c>
      <c r="AB9" s="12" t="s">
        <v>2</v>
      </c>
      <c r="AC9" s="12" t="s">
        <v>3</v>
      </c>
      <c r="AD9" s="12" t="s">
        <v>4</v>
      </c>
      <c r="AE9" s="12" t="s">
        <v>5</v>
      </c>
      <c r="AF9" s="12" t="s">
        <v>49</v>
      </c>
      <c r="AG9" s="12" t="s">
        <v>2</v>
      </c>
      <c r="AH9" s="12" t="s">
        <v>3</v>
      </c>
      <c r="AI9" s="12" t="s">
        <v>4</v>
      </c>
      <c r="AJ9" s="12" t="s">
        <v>5</v>
      </c>
      <c r="AK9" s="12" t="s">
        <v>49</v>
      </c>
      <c r="AL9" s="12" t="s">
        <v>2</v>
      </c>
      <c r="AM9" s="12" t="s">
        <v>3</v>
      </c>
      <c r="AN9" s="12" t="s">
        <v>4</v>
      </c>
      <c r="AO9" s="12" t="s">
        <v>5</v>
      </c>
      <c r="AP9" s="12" t="s">
        <v>49</v>
      </c>
      <c r="AQ9" s="12" t="s">
        <v>2</v>
      </c>
      <c r="AR9" s="12" t="s">
        <v>3</v>
      </c>
      <c r="AS9" s="12" t="s">
        <v>4</v>
      </c>
      <c r="AT9" s="12" t="s">
        <v>5</v>
      </c>
      <c r="AU9" s="12" t="s">
        <v>49</v>
      </c>
      <c r="AV9" s="12" t="s">
        <v>2</v>
      </c>
      <c r="AW9" s="12" t="s">
        <v>3</v>
      </c>
      <c r="AX9" s="12" t="s">
        <v>4</v>
      </c>
      <c r="AY9" s="12" t="s">
        <v>5</v>
      </c>
      <c r="AZ9" s="12" t="s">
        <v>49</v>
      </c>
      <c r="BA9" s="12" t="s">
        <v>2</v>
      </c>
      <c r="BB9" s="12" t="s">
        <v>3</v>
      </c>
      <c r="BC9" s="12" t="s">
        <v>4</v>
      </c>
      <c r="BD9" s="12" t="s">
        <v>5</v>
      </c>
      <c r="BE9" s="12" t="s">
        <v>49</v>
      </c>
      <c r="BF9" s="12" t="s">
        <v>2</v>
      </c>
      <c r="BG9" s="12" t="s">
        <v>3</v>
      </c>
      <c r="BH9" s="12" t="s">
        <v>4</v>
      </c>
      <c r="BI9" s="12" t="s">
        <v>5</v>
      </c>
      <c r="BJ9" s="12" t="s">
        <v>49</v>
      </c>
    </row>
    <row r="10" spans="1:62" x14ac:dyDescent="0.3">
      <c r="A10" s="10">
        <v>1</v>
      </c>
      <c r="B10" s="2" t="s">
        <v>6</v>
      </c>
      <c r="C10" s="5">
        <v>70249</v>
      </c>
      <c r="D10" s="5">
        <v>28689</v>
      </c>
      <c r="E10" s="3">
        <f>F10-D10</f>
        <v>41876</v>
      </c>
      <c r="F10" s="5">
        <v>70565</v>
      </c>
      <c r="G10" s="4">
        <f>F10/C10</f>
        <v>1.0044982846730914</v>
      </c>
      <c r="H10" s="5">
        <v>72254</v>
      </c>
      <c r="I10" s="5">
        <v>29165</v>
      </c>
      <c r="J10" s="3">
        <f>K10-I10</f>
        <v>43019</v>
      </c>
      <c r="K10" s="5">
        <v>72184</v>
      </c>
      <c r="L10" s="4">
        <f>K10/H10</f>
        <v>0.99903119550474717</v>
      </c>
      <c r="M10" s="5">
        <v>120466</v>
      </c>
      <c r="N10" s="5">
        <v>45623</v>
      </c>
      <c r="O10" s="3">
        <f>P10-N10</f>
        <v>74857</v>
      </c>
      <c r="P10" s="5">
        <v>120480</v>
      </c>
      <c r="Q10" s="4">
        <f>P10/M10</f>
        <v>1.0001162153636711</v>
      </c>
      <c r="R10" s="5">
        <v>70979</v>
      </c>
      <c r="S10" s="5">
        <v>29494</v>
      </c>
      <c r="T10" s="3">
        <f>U10-S10</f>
        <v>41689</v>
      </c>
      <c r="U10" s="5">
        <v>71183</v>
      </c>
      <c r="V10" s="4">
        <f>U10/R10</f>
        <v>1.0028740895194352</v>
      </c>
      <c r="W10" s="5">
        <v>73348</v>
      </c>
      <c r="X10" s="5">
        <v>30390</v>
      </c>
      <c r="Y10" s="3">
        <f>Z10-X10</f>
        <v>42540</v>
      </c>
      <c r="Z10" s="5">
        <v>72930</v>
      </c>
      <c r="AA10" s="4">
        <f>Z10/W10</f>
        <v>0.99430113977204559</v>
      </c>
      <c r="AB10" s="5">
        <v>123554</v>
      </c>
      <c r="AC10" s="5">
        <v>46600</v>
      </c>
      <c r="AD10" s="3">
        <f>AE10-AC10</f>
        <v>77006</v>
      </c>
      <c r="AE10" s="5">
        <v>123606</v>
      </c>
      <c r="AF10" s="4">
        <f>AE10/AB10</f>
        <v>1.000420868608058</v>
      </c>
      <c r="AG10" s="5">
        <v>71950</v>
      </c>
      <c r="AH10" s="13">
        <v>30051</v>
      </c>
      <c r="AI10" s="3">
        <f>AJ10-AH10</f>
        <v>41850</v>
      </c>
      <c r="AJ10" s="5">
        <v>71901</v>
      </c>
      <c r="AK10" s="4">
        <f>AJ10/AG10</f>
        <v>0.99931897150799165</v>
      </c>
      <c r="AL10" s="5">
        <v>73532</v>
      </c>
      <c r="AM10" s="13">
        <v>29930</v>
      </c>
      <c r="AN10" s="3">
        <f>AO10-AM10</f>
        <v>43036</v>
      </c>
      <c r="AO10" s="5">
        <v>72966</v>
      </c>
      <c r="AP10" s="4">
        <f>AO10/AL10</f>
        <v>0.99230267094598268</v>
      </c>
      <c r="AQ10" s="5">
        <v>125499</v>
      </c>
      <c r="AR10" s="13">
        <v>46715</v>
      </c>
      <c r="AS10" s="3">
        <f>AT10-AR10</f>
        <v>79235</v>
      </c>
      <c r="AT10" s="5">
        <v>125950</v>
      </c>
      <c r="AU10" s="4">
        <f>AT10/AQ10</f>
        <v>1.0035936541327022</v>
      </c>
      <c r="AV10" s="5">
        <v>72481</v>
      </c>
      <c r="AW10" s="13">
        <v>29864</v>
      </c>
      <c r="AX10" s="3">
        <f>AY10-AW10</f>
        <v>42352</v>
      </c>
      <c r="AY10" s="5">
        <v>72216</v>
      </c>
      <c r="AZ10" s="4">
        <f>AY10/AV10</f>
        <v>0.99634386942785003</v>
      </c>
      <c r="BA10" s="5">
        <v>73790</v>
      </c>
      <c r="BB10" s="13">
        <v>30195</v>
      </c>
      <c r="BC10" s="3">
        <f>BD10-BB10</f>
        <v>43021</v>
      </c>
      <c r="BD10" s="5">
        <v>73216</v>
      </c>
      <c r="BE10" s="4">
        <f>BD10/BA10</f>
        <v>0.99222116817997019</v>
      </c>
      <c r="BF10" s="5">
        <v>128129</v>
      </c>
      <c r="BG10" s="13">
        <v>42523</v>
      </c>
      <c r="BH10" s="3">
        <f>BI10-BG10</f>
        <v>85614</v>
      </c>
      <c r="BI10" s="5">
        <v>128137</v>
      </c>
      <c r="BJ10" s="4">
        <f>BI10/BF10</f>
        <v>1.0000624370751352</v>
      </c>
    </row>
    <row r="11" spans="1:62" x14ac:dyDescent="0.3">
      <c r="A11" s="10">
        <v>2</v>
      </c>
      <c r="B11" s="2" t="s">
        <v>7</v>
      </c>
      <c r="C11" s="5">
        <v>44514</v>
      </c>
      <c r="D11" s="5">
        <v>27155</v>
      </c>
      <c r="E11" s="3">
        <f t="shared" ref="E11:E47" si="0">F11-D11</f>
        <v>17630</v>
      </c>
      <c r="F11" s="5">
        <v>44785</v>
      </c>
      <c r="G11" s="4">
        <f t="shared" ref="G11:G47" si="1">F11/C11</f>
        <v>1.006087972323314</v>
      </c>
      <c r="H11" s="5">
        <v>46110</v>
      </c>
      <c r="I11" s="5">
        <v>27222</v>
      </c>
      <c r="J11" s="3">
        <f t="shared" ref="J11:J33" si="2">K11-I11</f>
        <v>18773</v>
      </c>
      <c r="K11" s="5">
        <v>45995</v>
      </c>
      <c r="L11" s="4">
        <f t="shared" ref="L11:L33" si="3">K11/H11</f>
        <v>0.99750596399913249</v>
      </c>
      <c r="M11" s="5">
        <v>102242</v>
      </c>
      <c r="N11" s="5">
        <v>50063</v>
      </c>
      <c r="O11" s="3">
        <f t="shared" ref="O11:O33" si="4">P11-N11</f>
        <v>52499</v>
      </c>
      <c r="P11" s="5">
        <v>102562</v>
      </c>
      <c r="Q11" s="4">
        <f t="shared" ref="Q11:Q33" si="5">P11/M11</f>
        <v>1.0031298292286928</v>
      </c>
      <c r="R11" s="5">
        <v>44890</v>
      </c>
      <c r="S11" s="5">
        <v>28025</v>
      </c>
      <c r="T11" s="3">
        <f t="shared" ref="T11:T33" si="6">U11-S11</f>
        <v>16794</v>
      </c>
      <c r="U11" s="5">
        <v>44819</v>
      </c>
      <c r="V11" s="4">
        <f t="shared" ref="V11:V33" si="7">U11/R11</f>
        <v>0.99841835598128759</v>
      </c>
      <c r="W11" s="5">
        <v>46425</v>
      </c>
      <c r="X11" s="5">
        <v>28597</v>
      </c>
      <c r="Y11" s="3">
        <f t="shared" ref="Y11:Y33" si="8">Z11-X11</f>
        <v>17298</v>
      </c>
      <c r="Z11" s="5">
        <v>45895</v>
      </c>
      <c r="AA11" s="4">
        <f t="shared" ref="AA11:AA33" si="9">Z11/W11</f>
        <v>0.9885837372105547</v>
      </c>
      <c r="AB11" s="5">
        <v>103964</v>
      </c>
      <c r="AC11" s="5">
        <v>59922</v>
      </c>
      <c r="AD11" s="3">
        <f t="shared" ref="AD11:AD33" si="10">AE11-AC11</f>
        <v>44399</v>
      </c>
      <c r="AE11" s="5">
        <v>104321</v>
      </c>
      <c r="AF11" s="4">
        <f t="shared" ref="AF11:AF33" si="11">AE11/AB11</f>
        <v>1.0034338809587935</v>
      </c>
      <c r="AG11" s="5">
        <v>45569</v>
      </c>
      <c r="AH11" s="13">
        <v>29709</v>
      </c>
      <c r="AI11" s="3">
        <f t="shared" ref="AI11:AI33" si="12">AJ11-AH11</f>
        <v>15627</v>
      </c>
      <c r="AJ11" s="5">
        <v>45336</v>
      </c>
      <c r="AK11" s="4">
        <f t="shared" ref="AK11:AK33" si="13">AJ11/AG11</f>
        <v>0.99488687484912985</v>
      </c>
      <c r="AL11" s="5">
        <v>46951</v>
      </c>
      <c r="AM11" s="13">
        <v>30251</v>
      </c>
      <c r="AN11" s="3">
        <f t="shared" ref="AN11:AN25" si="14">AO11-AM11</f>
        <v>15997</v>
      </c>
      <c r="AO11" s="5">
        <v>46248</v>
      </c>
      <c r="AP11" s="4">
        <f t="shared" ref="AP11:AP26" si="15">AO11/AL11</f>
        <v>0.98502694298311</v>
      </c>
      <c r="AQ11" s="5">
        <v>105644</v>
      </c>
      <c r="AR11" s="13">
        <v>63606</v>
      </c>
      <c r="AS11" s="3">
        <f t="shared" ref="AS11:AS25" si="16">AT11-AR11</f>
        <v>42416</v>
      </c>
      <c r="AT11" s="5">
        <v>106022</v>
      </c>
      <c r="AU11" s="4">
        <f t="shared" ref="AU11:AU26" si="17">AT11/AQ11</f>
        <v>1.0035780545984627</v>
      </c>
      <c r="AV11" s="5">
        <v>46072</v>
      </c>
      <c r="AW11" s="13">
        <v>30845</v>
      </c>
      <c r="AX11" s="3">
        <f t="shared" ref="AX11:AX25" si="18">AY11-AW11</f>
        <v>15089</v>
      </c>
      <c r="AY11" s="5">
        <v>45934</v>
      </c>
      <c r="AZ11" s="4">
        <f t="shared" ref="AZ11:AZ26" si="19">AY11/AV11</f>
        <v>0.9970046883139434</v>
      </c>
      <c r="BA11" s="5">
        <v>47252</v>
      </c>
      <c r="BB11" s="13">
        <v>31346</v>
      </c>
      <c r="BC11" s="3">
        <f t="shared" ref="BC11:BC25" si="20">BD11-BB11</f>
        <v>15552</v>
      </c>
      <c r="BD11" s="5">
        <v>46898</v>
      </c>
      <c r="BE11" s="4">
        <f t="shared" ref="BE11:BE26" si="21">BD11/BA11</f>
        <v>0.99250825361889439</v>
      </c>
      <c r="BF11" s="5">
        <v>107665</v>
      </c>
      <c r="BG11" s="13">
        <v>61196</v>
      </c>
      <c r="BH11" s="3">
        <f t="shared" ref="BH11:BH33" si="22">BI11-BG11</f>
        <v>46534</v>
      </c>
      <c r="BI11" s="5">
        <v>107730</v>
      </c>
      <c r="BJ11" s="4">
        <f t="shared" ref="BJ11:BJ33" si="23">BI11/BF11</f>
        <v>1.0006037245158594</v>
      </c>
    </row>
    <row r="12" spans="1:62" x14ac:dyDescent="0.3">
      <c r="A12" s="10">
        <v>3</v>
      </c>
      <c r="B12" s="2" t="s">
        <v>8</v>
      </c>
      <c r="C12" s="5">
        <v>165970</v>
      </c>
      <c r="D12" s="5">
        <v>129901</v>
      </c>
      <c r="E12" s="3">
        <f t="shared" si="0"/>
        <v>35166</v>
      </c>
      <c r="F12" s="5">
        <v>165067</v>
      </c>
      <c r="G12" s="4">
        <f t="shared" si="1"/>
        <v>0.99455925769717424</v>
      </c>
      <c r="H12" s="5">
        <v>170538</v>
      </c>
      <c r="I12" s="5">
        <v>130540</v>
      </c>
      <c r="J12" s="3">
        <f t="shared" si="2"/>
        <v>37609</v>
      </c>
      <c r="K12" s="5">
        <v>168149</v>
      </c>
      <c r="L12" s="4">
        <f t="shared" si="3"/>
        <v>0.98599139194783569</v>
      </c>
      <c r="M12" s="5">
        <v>344875</v>
      </c>
      <c r="N12" s="5">
        <v>247761</v>
      </c>
      <c r="O12" s="3">
        <f t="shared" si="4"/>
        <v>96099</v>
      </c>
      <c r="P12" s="5">
        <v>343860</v>
      </c>
      <c r="Q12" s="4">
        <f t="shared" si="5"/>
        <v>0.99705690467560715</v>
      </c>
      <c r="R12" s="5">
        <v>167705</v>
      </c>
      <c r="S12" s="5">
        <v>129138</v>
      </c>
      <c r="T12" s="3">
        <f t="shared" si="6"/>
        <v>37664</v>
      </c>
      <c r="U12" s="5">
        <v>166802</v>
      </c>
      <c r="V12" s="4">
        <f t="shared" si="7"/>
        <v>0.99461554515369255</v>
      </c>
      <c r="W12" s="5">
        <v>171864</v>
      </c>
      <c r="X12" s="5">
        <v>131240</v>
      </c>
      <c r="Y12" s="3">
        <f t="shared" si="8"/>
        <v>38688</v>
      </c>
      <c r="Z12" s="5">
        <v>169928</v>
      </c>
      <c r="AA12" s="4">
        <f t="shared" si="9"/>
        <v>0.98873527905785974</v>
      </c>
      <c r="AB12" s="5">
        <v>349048</v>
      </c>
      <c r="AC12" s="5">
        <v>255454</v>
      </c>
      <c r="AD12" s="3">
        <f t="shared" si="10"/>
        <v>93163</v>
      </c>
      <c r="AE12" s="5">
        <v>348617</v>
      </c>
      <c r="AF12" s="4">
        <f t="shared" si="11"/>
        <v>0.9987652128074076</v>
      </c>
      <c r="AG12" s="5">
        <v>170526</v>
      </c>
      <c r="AH12" s="13">
        <v>131776</v>
      </c>
      <c r="AI12" s="3">
        <f t="shared" si="12"/>
        <v>38063</v>
      </c>
      <c r="AJ12" s="5">
        <v>169839</v>
      </c>
      <c r="AK12" s="4">
        <f t="shared" si="13"/>
        <v>0.99597128883572006</v>
      </c>
      <c r="AL12" s="5">
        <v>174892</v>
      </c>
      <c r="AM12" s="13">
        <v>133948</v>
      </c>
      <c r="AN12" s="3">
        <f t="shared" si="14"/>
        <v>38303</v>
      </c>
      <c r="AO12" s="5">
        <v>172251</v>
      </c>
      <c r="AP12" s="4">
        <f t="shared" si="15"/>
        <v>0.9848992521098735</v>
      </c>
      <c r="AQ12" s="5">
        <v>353589</v>
      </c>
      <c r="AR12" s="13">
        <v>259019</v>
      </c>
      <c r="AS12" s="3">
        <f t="shared" si="16"/>
        <v>94290</v>
      </c>
      <c r="AT12" s="5">
        <v>353309</v>
      </c>
      <c r="AU12" s="4">
        <f t="shared" si="17"/>
        <v>0.99920812016210914</v>
      </c>
      <c r="AV12" s="5">
        <v>172980</v>
      </c>
      <c r="AW12" s="13">
        <v>135676</v>
      </c>
      <c r="AX12" s="3">
        <f t="shared" si="18"/>
        <v>36178</v>
      </c>
      <c r="AY12" s="5">
        <v>171854</v>
      </c>
      <c r="AZ12" s="4">
        <f t="shared" si="19"/>
        <v>0.99349057694531162</v>
      </c>
      <c r="BA12" s="5">
        <v>177212</v>
      </c>
      <c r="BB12" s="13">
        <v>137894</v>
      </c>
      <c r="BC12" s="3">
        <f t="shared" si="20"/>
        <v>36683</v>
      </c>
      <c r="BD12" s="5">
        <v>174577</v>
      </c>
      <c r="BE12" s="4">
        <f t="shared" si="21"/>
        <v>0.98513080378303952</v>
      </c>
      <c r="BF12" s="5">
        <v>359260</v>
      </c>
      <c r="BG12" s="13">
        <v>257240</v>
      </c>
      <c r="BH12" s="3">
        <f t="shared" si="22"/>
        <v>100689</v>
      </c>
      <c r="BI12" s="5">
        <v>357929</v>
      </c>
      <c r="BJ12" s="4">
        <f t="shared" si="23"/>
        <v>0.99629516227801596</v>
      </c>
    </row>
    <row r="13" spans="1:62" x14ac:dyDescent="0.3">
      <c r="A13" s="10">
        <v>4</v>
      </c>
      <c r="B13" s="2" t="s">
        <v>9</v>
      </c>
      <c r="C13" s="5">
        <v>16508</v>
      </c>
      <c r="D13" s="5">
        <v>13215</v>
      </c>
      <c r="E13" s="3">
        <f t="shared" si="0"/>
        <v>3341</v>
      </c>
      <c r="F13" s="5">
        <v>16556</v>
      </c>
      <c r="G13" s="4">
        <f t="shared" si="1"/>
        <v>1.0029076811243034</v>
      </c>
      <c r="H13" s="5">
        <v>16836</v>
      </c>
      <c r="I13" s="5">
        <v>13210</v>
      </c>
      <c r="J13" s="3">
        <f t="shared" si="2"/>
        <v>3542</v>
      </c>
      <c r="K13" s="5">
        <v>16752</v>
      </c>
      <c r="L13" s="4">
        <f t="shared" si="3"/>
        <v>0.9950106913756237</v>
      </c>
      <c r="M13" s="5">
        <v>27790</v>
      </c>
      <c r="N13" s="5">
        <v>20316</v>
      </c>
      <c r="O13" s="3">
        <f t="shared" si="4"/>
        <v>7551</v>
      </c>
      <c r="P13" s="5">
        <v>27867</v>
      </c>
      <c r="Q13" s="4">
        <f t="shared" si="5"/>
        <v>1.0027707808564232</v>
      </c>
      <c r="R13" s="5">
        <v>16731</v>
      </c>
      <c r="S13" s="5">
        <v>13202</v>
      </c>
      <c r="T13" s="3">
        <f t="shared" si="6"/>
        <v>3510</v>
      </c>
      <c r="U13" s="5">
        <v>16712</v>
      </c>
      <c r="V13" s="4">
        <f t="shared" si="7"/>
        <v>0.99886438347976814</v>
      </c>
      <c r="W13" s="5">
        <v>16980</v>
      </c>
      <c r="X13" s="5">
        <v>13307</v>
      </c>
      <c r="Y13" s="3">
        <f t="shared" si="8"/>
        <v>3656</v>
      </c>
      <c r="Z13" s="5">
        <v>16963</v>
      </c>
      <c r="AA13" s="4">
        <f t="shared" si="9"/>
        <v>0.99899882214369851</v>
      </c>
      <c r="AB13" s="5">
        <v>28086</v>
      </c>
      <c r="AC13" s="5">
        <v>21392</v>
      </c>
      <c r="AD13" s="3">
        <f t="shared" si="10"/>
        <v>6742</v>
      </c>
      <c r="AE13" s="5">
        <v>28134</v>
      </c>
      <c r="AF13" s="4">
        <f t="shared" si="11"/>
        <v>1.0017090365306558</v>
      </c>
      <c r="AG13" s="5">
        <v>17018</v>
      </c>
      <c r="AH13" s="13">
        <v>13532</v>
      </c>
      <c r="AI13" s="3">
        <f t="shared" si="12"/>
        <v>3644</v>
      </c>
      <c r="AJ13" s="5">
        <v>17176</v>
      </c>
      <c r="AK13" s="4">
        <f t="shared" si="13"/>
        <v>1.009284287225291</v>
      </c>
      <c r="AL13" s="5">
        <v>17260</v>
      </c>
      <c r="AM13" s="13">
        <v>13581</v>
      </c>
      <c r="AN13" s="3">
        <f t="shared" si="14"/>
        <v>3704</v>
      </c>
      <c r="AO13" s="5">
        <v>17285</v>
      </c>
      <c r="AP13" s="4">
        <f t="shared" si="15"/>
        <v>1.0014484356894553</v>
      </c>
      <c r="AQ13" s="5">
        <v>28368</v>
      </c>
      <c r="AR13" s="13">
        <v>21983</v>
      </c>
      <c r="AS13" s="3">
        <f t="shared" si="16"/>
        <v>6504</v>
      </c>
      <c r="AT13" s="5">
        <v>28487</v>
      </c>
      <c r="AU13" s="4">
        <f t="shared" si="17"/>
        <v>1.0041948674562888</v>
      </c>
      <c r="AV13" s="5">
        <v>17209</v>
      </c>
      <c r="AW13" s="13">
        <v>13801</v>
      </c>
      <c r="AX13" s="3">
        <f t="shared" si="18"/>
        <v>3474</v>
      </c>
      <c r="AY13" s="5">
        <v>17275</v>
      </c>
      <c r="AZ13" s="4">
        <f t="shared" si="19"/>
        <v>1.0038352025103143</v>
      </c>
      <c r="BA13" s="5">
        <v>17487</v>
      </c>
      <c r="BB13" s="13">
        <v>13967</v>
      </c>
      <c r="BC13" s="3">
        <f t="shared" si="20"/>
        <v>3442</v>
      </c>
      <c r="BD13" s="5">
        <v>17409</v>
      </c>
      <c r="BE13" s="4">
        <f t="shared" si="21"/>
        <v>0.99553954366100528</v>
      </c>
      <c r="BF13" s="5">
        <v>28574</v>
      </c>
      <c r="BG13" s="13">
        <v>21642</v>
      </c>
      <c r="BH13" s="3">
        <f t="shared" si="22"/>
        <v>7063</v>
      </c>
      <c r="BI13" s="5">
        <v>28705</v>
      </c>
      <c r="BJ13" s="4">
        <f t="shared" si="23"/>
        <v>1.0045845873871351</v>
      </c>
    </row>
    <row r="14" spans="1:62" x14ac:dyDescent="0.3">
      <c r="A14" s="10">
        <v>5</v>
      </c>
      <c r="B14" s="2" t="s">
        <v>10</v>
      </c>
      <c r="C14" s="5">
        <v>85383</v>
      </c>
      <c r="D14" s="5">
        <v>48444</v>
      </c>
      <c r="E14" s="3">
        <f t="shared" si="0"/>
        <v>36545</v>
      </c>
      <c r="F14" s="5">
        <v>84989</v>
      </c>
      <c r="G14" s="4">
        <f t="shared" si="1"/>
        <v>0.99538549828420175</v>
      </c>
      <c r="H14" s="5">
        <v>88261</v>
      </c>
      <c r="I14" s="5">
        <v>48825</v>
      </c>
      <c r="J14" s="3">
        <f t="shared" si="2"/>
        <v>37969</v>
      </c>
      <c r="K14" s="5">
        <v>86794</v>
      </c>
      <c r="L14" s="4">
        <f t="shared" si="3"/>
        <v>0.98337884229727734</v>
      </c>
      <c r="M14" s="5">
        <v>157146</v>
      </c>
      <c r="N14" s="5">
        <v>78901</v>
      </c>
      <c r="O14" s="3">
        <f t="shared" si="4"/>
        <v>76956</v>
      </c>
      <c r="P14" s="5">
        <v>155857</v>
      </c>
      <c r="Q14" s="4">
        <f t="shared" si="5"/>
        <v>0.99179743677853716</v>
      </c>
      <c r="R14" s="5">
        <v>86469</v>
      </c>
      <c r="S14" s="5">
        <v>48332</v>
      </c>
      <c r="T14" s="3">
        <f t="shared" si="6"/>
        <v>36741</v>
      </c>
      <c r="U14" s="5">
        <v>85073</v>
      </c>
      <c r="V14" s="4">
        <f t="shared" si="7"/>
        <v>0.98385548578103132</v>
      </c>
      <c r="W14" s="5">
        <v>88169</v>
      </c>
      <c r="X14" s="5">
        <v>48565</v>
      </c>
      <c r="Y14" s="3">
        <f t="shared" si="8"/>
        <v>37720</v>
      </c>
      <c r="Z14" s="5">
        <v>86285</v>
      </c>
      <c r="AA14" s="4">
        <f t="shared" si="9"/>
        <v>0.97863194546836185</v>
      </c>
      <c r="AB14" s="5">
        <v>157930</v>
      </c>
      <c r="AC14" s="5">
        <v>81416</v>
      </c>
      <c r="AD14" s="3">
        <f t="shared" si="10"/>
        <v>76093</v>
      </c>
      <c r="AE14" s="5">
        <v>157509</v>
      </c>
      <c r="AF14" s="4">
        <f t="shared" si="11"/>
        <v>0.99733426201481667</v>
      </c>
      <c r="AG14" s="5">
        <v>87312</v>
      </c>
      <c r="AH14" s="13">
        <v>48856</v>
      </c>
      <c r="AI14" s="3">
        <f t="shared" si="12"/>
        <v>37743</v>
      </c>
      <c r="AJ14" s="5">
        <v>86599</v>
      </c>
      <c r="AK14" s="4">
        <f t="shared" si="13"/>
        <v>0.99183388308594467</v>
      </c>
      <c r="AL14" s="5">
        <v>89337</v>
      </c>
      <c r="AM14" s="13">
        <v>50118</v>
      </c>
      <c r="AN14" s="3">
        <f t="shared" si="14"/>
        <v>37670</v>
      </c>
      <c r="AO14" s="5">
        <v>87788</v>
      </c>
      <c r="AP14" s="4">
        <f t="shared" si="15"/>
        <v>0.98266115943002341</v>
      </c>
      <c r="AQ14" s="5">
        <v>160173</v>
      </c>
      <c r="AR14" s="13">
        <v>83010</v>
      </c>
      <c r="AS14" s="3">
        <f t="shared" si="16"/>
        <v>77588</v>
      </c>
      <c r="AT14" s="5">
        <v>160598</v>
      </c>
      <c r="AU14" s="4">
        <f t="shared" si="17"/>
        <v>1.0026533810317595</v>
      </c>
      <c r="AV14" s="5">
        <v>88523</v>
      </c>
      <c r="AW14" s="13">
        <v>50537</v>
      </c>
      <c r="AX14" s="3">
        <f t="shared" si="18"/>
        <v>37598</v>
      </c>
      <c r="AY14" s="5">
        <v>88135</v>
      </c>
      <c r="AZ14" s="4">
        <f t="shared" si="19"/>
        <v>0.99561695830462138</v>
      </c>
      <c r="BA14" s="5">
        <v>90782</v>
      </c>
      <c r="BB14" s="13">
        <v>51914</v>
      </c>
      <c r="BC14" s="3">
        <f t="shared" si="20"/>
        <v>37706</v>
      </c>
      <c r="BD14" s="5">
        <v>89620</v>
      </c>
      <c r="BE14" s="4">
        <f t="shared" si="21"/>
        <v>0.98720010574783545</v>
      </c>
      <c r="BF14" s="5">
        <v>163900</v>
      </c>
      <c r="BG14" s="13">
        <v>81154</v>
      </c>
      <c r="BH14" s="3">
        <f t="shared" si="22"/>
        <v>82073</v>
      </c>
      <c r="BI14" s="5">
        <v>163227</v>
      </c>
      <c r="BJ14" s="4">
        <f t="shared" si="23"/>
        <v>0.99589383770591822</v>
      </c>
    </row>
    <row r="15" spans="1:62" x14ac:dyDescent="0.3">
      <c r="A15" s="10">
        <v>6</v>
      </c>
      <c r="B15" s="2" t="s">
        <v>11</v>
      </c>
      <c r="C15" s="5">
        <v>284262</v>
      </c>
      <c r="D15" s="5">
        <v>209878</v>
      </c>
      <c r="E15" s="3">
        <f t="shared" si="0"/>
        <v>72333</v>
      </c>
      <c r="F15" s="5">
        <v>282211</v>
      </c>
      <c r="G15" s="4">
        <f t="shared" si="1"/>
        <v>0.99278482526683132</v>
      </c>
      <c r="H15" s="5">
        <v>290906</v>
      </c>
      <c r="I15" s="5">
        <v>210450</v>
      </c>
      <c r="J15" s="3">
        <f t="shared" si="2"/>
        <v>76324</v>
      </c>
      <c r="K15" s="5">
        <v>286774</v>
      </c>
      <c r="L15" s="4">
        <f t="shared" si="3"/>
        <v>0.98579609908355281</v>
      </c>
      <c r="M15" s="5">
        <v>490131</v>
      </c>
      <c r="N15" s="5">
        <v>339316</v>
      </c>
      <c r="O15" s="3">
        <f t="shared" si="4"/>
        <v>147278</v>
      </c>
      <c r="P15" s="5">
        <v>486594</v>
      </c>
      <c r="Q15" s="4">
        <f t="shared" si="5"/>
        <v>0.99278356194568396</v>
      </c>
      <c r="R15" s="5">
        <v>287010</v>
      </c>
      <c r="S15" s="5">
        <v>208590</v>
      </c>
      <c r="T15" s="3">
        <f t="shared" si="6"/>
        <v>74981</v>
      </c>
      <c r="U15" s="5">
        <v>283571</v>
      </c>
      <c r="V15" s="4">
        <f t="shared" si="7"/>
        <v>0.98801783909968299</v>
      </c>
      <c r="W15" s="5">
        <v>292338</v>
      </c>
      <c r="X15" s="5">
        <v>213093</v>
      </c>
      <c r="Y15" s="3">
        <f t="shared" si="8"/>
        <v>74389</v>
      </c>
      <c r="Z15" s="5">
        <v>287482</v>
      </c>
      <c r="AA15" s="4">
        <f t="shared" si="9"/>
        <v>0.98338909071006853</v>
      </c>
      <c r="AB15" s="5">
        <v>495688</v>
      </c>
      <c r="AC15" s="5">
        <v>349688</v>
      </c>
      <c r="AD15" s="3">
        <f t="shared" si="10"/>
        <v>142472</v>
      </c>
      <c r="AE15" s="5">
        <v>492160</v>
      </c>
      <c r="AF15" s="4">
        <f t="shared" si="11"/>
        <v>0.99288261971239977</v>
      </c>
      <c r="AG15" s="5">
        <v>292071</v>
      </c>
      <c r="AH15" s="13">
        <v>211009</v>
      </c>
      <c r="AI15" s="3">
        <f t="shared" si="12"/>
        <v>78351</v>
      </c>
      <c r="AJ15" s="5">
        <v>289360</v>
      </c>
      <c r="AK15" s="4">
        <f t="shared" si="13"/>
        <v>0.99071801034679918</v>
      </c>
      <c r="AL15" s="5">
        <v>298411</v>
      </c>
      <c r="AM15" s="13">
        <v>218221</v>
      </c>
      <c r="AN15" s="3">
        <f t="shared" si="14"/>
        <v>75036</v>
      </c>
      <c r="AO15" s="5">
        <v>293257</v>
      </c>
      <c r="AP15" s="4">
        <f t="shared" si="15"/>
        <v>0.98272851872082467</v>
      </c>
      <c r="AQ15" s="5">
        <v>502913</v>
      </c>
      <c r="AR15" s="13">
        <v>362088</v>
      </c>
      <c r="AS15" s="3">
        <f t="shared" si="16"/>
        <v>137715</v>
      </c>
      <c r="AT15" s="5">
        <v>499803</v>
      </c>
      <c r="AU15" s="4">
        <f t="shared" si="17"/>
        <v>0.99381602782190959</v>
      </c>
      <c r="AV15" s="5">
        <v>298012</v>
      </c>
      <c r="AW15" s="13">
        <v>222703</v>
      </c>
      <c r="AX15" s="3">
        <f t="shared" si="18"/>
        <v>71719</v>
      </c>
      <c r="AY15" s="5">
        <v>294422</v>
      </c>
      <c r="AZ15" s="4">
        <f t="shared" si="19"/>
        <v>0.98795350522797742</v>
      </c>
      <c r="BA15" s="5">
        <v>303376</v>
      </c>
      <c r="BB15" s="13">
        <v>227228</v>
      </c>
      <c r="BC15" s="3">
        <f t="shared" si="20"/>
        <v>71580</v>
      </c>
      <c r="BD15" s="5">
        <v>298808</v>
      </c>
      <c r="BE15" s="4">
        <f t="shared" si="21"/>
        <v>0.98494277727967938</v>
      </c>
      <c r="BF15" s="5">
        <v>511329</v>
      </c>
      <c r="BG15" s="13">
        <v>358006</v>
      </c>
      <c r="BH15" s="3">
        <f t="shared" si="22"/>
        <v>149661</v>
      </c>
      <c r="BI15" s="5">
        <v>507667</v>
      </c>
      <c r="BJ15" s="4">
        <f t="shared" si="23"/>
        <v>0.99283827046774187</v>
      </c>
    </row>
    <row r="16" spans="1:62" x14ac:dyDescent="0.3">
      <c r="A16" s="10">
        <v>7</v>
      </c>
      <c r="B16" s="2" t="s">
        <v>12</v>
      </c>
      <c r="C16" s="5">
        <v>430635</v>
      </c>
      <c r="D16" s="5">
        <v>319634</v>
      </c>
      <c r="E16" s="3">
        <f t="shared" si="0"/>
        <v>107195</v>
      </c>
      <c r="F16" s="5">
        <v>426829</v>
      </c>
      <c r="G16" s="4">
        <f t="shared" si="1"/>
        <v>0.99116188883857559</v>
      </c>
      <c r="H16" s="5">
        <v>441093</v>
      </c>
      <c r="I16" s="5">
        <v>317926</v>
      </c>
      <c r="J16" s="3">
        <f t="shared" si="2"/>
        <v>113304</v>
      </c>
      <c r="K16" s="5">
        <v>431230</v>
      </c>
      <c r="L16" s="4">
        <f t="shared" si="3"/>
        <v>0.97763963608581406</v>
      </c>
      <c r="M16" s="5">
        <v>754668</v>
      </c>
      <c r="N16" s="5">
        <v>551852</v>
      </c>
      <c r="O16" s="3">
        <f t="shared" si="4"/>
        <v>199777</v>
      </c>
      <c r="P16" s="5">
        <v>751629</v>
      </c>
      <c r="Q16" s="4">
        <f t="shared" si="5"/>
        <v>0.99597306365183103</v>
      </c>
      <c r="R16" s="5">
        <v>429537</v>
      </c>
      <c r="S16" s="5">
        <v>312302</v>
      </c>
      <c r="T16" s="3">
        <f t="shared" si="6"/>
        <v>111515</v>
      </c>
      <c r="U16" s="5">
        <v>423817</v>
      </c>
      <c r="V16" s="4">
        <f t="shared" si="7"/>
        <v>0.98668333577782585</v>
      </c>
      <c r="W16" s="5">
        <v>433887</v>
      </c>
      <c r="X16" s="5">
        <v>314243</v>
      </c>
      <c r="Y16" s="3">
        <f t="shared" si="8"/>
        <v>112580</v>
      </c>
      <c r="Z16" s="5">
        <v>426823</v>
      </c>
      <c r="AA16" s="4">
        <f t="shared" si="9"/>
        <v>0.98371926331049331</v>
      </c>
      <c r="AB16" s="5">
        <v>753330</v>
      </c>
      <c r="AC16" s="5">
        <v>552078</v>
      </c>
      <c r="AD16" s="3">
        <f t="shared" si="10"/>
        <v>199915</v>
      </c>
      <c r="AE16" s="5">
        <v>751993</v>
      </c>
      <c r="AF16" s="4">
        <f t="shared" si="11"/>
        <v>0.99822521338589998</v>
      </c>
      <c r="AG16" s="5">
        <v>431686</v>
      </c>
      <c r="AH16" s="13">
        <v>312341</v>
      </c>
      <c r="AI16" s="3">
        <f t="shared" si="12"/>
        <v>113728</v>
      </c>
      <c r="AJ16" s="5">
        <v>426069</v>
      </c>
      <c r="AK16" s="4">
        <f t="shared" si="13"/>
        <v>0.98698822755428717</v>
      </c>
      <c r="AL16" s="5">
        <v>438911</v>
      </c>
      <c r="AM16" s="13">
        <v>316492</v>
      </c>
      <c r="AN16" s="3">
        <f t="shared" si="14"/>
        <v>113979</v>
      </c>
      <c r="AO16" s="5">
        <v>430471</v>
      </c>
      <c r="AP16" s="4">
        <f t="shared" si="15"/>
        <v>0.98077058902602121</v>
      </c>
      <c r="AQ16" s="5">
        <v>759875</v>
      </c>
      <c r="AR16" s="13">
        <v>562999</v>
      </c>
      <c r="AS16" s="3">
        <f t="shared" si="16"/>
        <v>195480</v>
      </c>
      <c r="AT16" s="5">
        <v>758479</v>
      </c>
      <c r="AU16" s="4">
        <f t="shared" si="17"/>
        <v>0.9981628557328508</v>
      </c>
      <c r="AV16" s="5">
        <v>437477</v>
      </c>
      <c r="AW16" s="13">
        <v>322741</v>
      </c>
      <c r="AX16" s="3">
        <f t="shared" si="18"/>
        <v>108259</v>
      </c>
      <c r="AY16" s="5">
        <v>431000</v>
      </c>
      <c r="AZ16" s="4">
        <f t="shared" si="19"/>
        <v>0.98519465023304087</v>
      </c>
      <c r="BA16" s="5">
        <v>445887</v>
      </c>
      <c r="BB16" s="13">
        <v>327168</v>
      </c>
      <c r="BC16" s="3">
        <f t="shared" si="20"/>
        <v>109669</v>
      </c>
      <c r="BD16" s="5">
        <v>436837</v>
      </c>
      <c r="BE16" s="4">
        <f t="shared" si="21"/>
        <v>0.97970337776163019</v>
      </c>
      <c r="BF16" s="5">
        <v>770088</v>
      </c>
      <c r="BG16" s="13">
        <v>557582</v>
      </c>
      <c r="BH16" s="3">
        <f t="shared" si="22"/>
        <v>207138</v>
      </c>
      <c r="BI16" s="5">
        <v>764720</v>
      </c>
      <c r="BJ16" s="4">
        <f t="shared" si="23"/>
        <v>0.99302936807222031</v>
      </c>
    </row>
    <row r="17" spans="1:62" x14ac:dyDescent="0.3">
      <c r="A17" s="10">
        <v>8</v>
      </c>
      <c r="B17" s="2" t="s">
        <v>13</v>
      </c>
      <c r="C17" s="5">
        <v>302574</v>
      </c>
      <c r="D17" s="5">
        <v>211846</v>
      </c>
      <c r="E17" s="3">
        <f t="shared" si="0"/>
        <v>89292</v>
      </c>
      <c r="F17" s="5">
        <v>301138</v>
      </c>
      <c r="G17" s="4">
        <f t="shared" si="1"/>
        <v>0.99525405355384133</v>
      </c>
      <c r="H17" s="5">
        <v>314962</v>
      </c>
      <c r="I17" s="5">
        <v>217051</v>
      </c>
      <c r="J17" s="3">
        <f t="shared" si="2"/>
        <v>92332</v>
      </c>
      <c r="K17" s="5">
        <v>309383</v>
      </c>
      <c r="L17" s="4">
        <f t="shared" si="3"/>
        <v>0.98228675205262861</v>
      </c>
      <c r="M17" s="5">
        <v>695415</v>
      </c>
      <c r="N17" s="5">
        <v>442279</v>
      </c>
      <c r="O17" s="3">
        <f t="shared" si="4"/>
        <v>249407</v>
      </c>
      <c r="P17" s="5">
        <v>691686</v>
      </c>
      <c r="Q17" s="4">
        <f t="shared" si="5"/>
        <v>0.99463773430253877</v>
      </c>
      <c r="R17" s="5">
        <v>305324</v>
      </c>
      <c r="S17" s="5">
        <v>211986</v>
      </c>
      <c r="T17" s="3">
        <f t="shared" si="6"/>
        <v>90675</v>
      </c>
      <c r="U17" s="5">
        <v>302661</v>
      </c>
      <c r="V17" s="4">
        <f t="shared" si="7"/>
        <v>0.99127811767171925</v>
      </c>
      <c r="W17" s="5">
        <v>316716</v>
      </c>
      <c r="X17" s="5">
        <v>216353</v>
      </c>
      <c r="Y17" s="3">
        <f t="shared" si="8"/>
        <v>93415</v>
      </c>
      <c r="Z17" s="5">
        <v>309768</v>
      </c>
      <c r="AA17" s="4">
        <f t="shared" si="9"/>
        <v>0.97806236502102828</v>
      </c>
      <c r="AB17" s="5">
        <v>703511</v>
      </c>
      <c r="AC17" s="5">
        <v>445675</v>
      </c>
      <c r="AD17" s="3">
        <f t="shared" si="10"/>
        <v>253972</v>
      </c>
      <c r="AE17" s="5">
        <v>699647</v>
      </c>
      <c r="AF17" s="4">
        <f t="shared" si="11"/>
        <v>0.99450754856711554</v>
      </c>
      <c r="AG17" s="5">
        <v>311084</v>
      </c>
      <c r="AH17" s="13">
        <v>218094</v>
      </c>
      <c r="AI17" s="3">
        <f t="shared" si="12"/>
        <v>90838</v>
      </c>
      <c r="AJ17" s="5">
        <v>308932</v>
      </c>
      <c r="AK17" s="4">
        <f t="shared" si="13"/>
        <v>0.99308225431073283</v>
      </c>
      <c r="AL17" s="5">
        <v>323550</v>
      </c>
      <c r="AM17" s="13">
        <v>222745</v>
      </c>
      <c r="AN17" s="3">
        <f t="shared" si="14"/>
        <v>93487</v>
      </c>
      <c r="AO17" s="5">
        <v>316232</v>
      </c>
      <c r="AP17" s="4">
        <f t="shared" si="15"/>
        <v>0.9773821665893988</v>
      </c>
      <c r="AQ17" s="5">
        <v>714257</v>
      </c>
      <c r="AR17" s="13">
        <v>469924</v>
      </c>
      <c r="AS17" s="3">
        <f t="shared" si="16"/>
        <v>244111</v>
      </c>
      <c r="AT17" s="5">
        <v>714035</v>
      </c>
      <c r="AU17" s="4">
        <f t="shared" si="17"/>
        <v>0.99968918750533775</v>
      </c>
      <c r="AV17" s="5">
        <v>316308</v>
      </c>
      <c r="AW17" s="13">
        <v>227656</v>
      </c>
      <c r="AX17" s="3">
        <f t="shared" si="18"/>
        <v>86996</v>
      </c>
      <c r="AY17" s="5">
        <v>314652</v>
      </c>
      <c r="AZ17" s="4">
        <f t="shared" si="19"/>
        <v>0.99476459653249361</v>
      </c>
      <c r="BA17" s="5">
        <v>328067</v>
      </c>
      <c r="BB17" s="13">
        <v>233170</v>
      </c>
      <c r="BC17" s="3">
        <f t="shared" si="20"/>
        <v>88412</v>
      </c>
      <c r="BD17" s="5">
        <v>321582</v>
      </c>
      <c r="BE17" s="4">
        <f t="shared" si="21"/>
        <v>0.98023269636994881</v>
      </c>
      <c r="BF17" s="5">
        <v>726752</v>
      </c>
      <c r="BG17" s="13">
        <v>452470</v>
      </c>
      <c r="BH17" s="3">
        <f t="shared" si="22"/>
        <v>272911</v>
      </c>
      <c r="BI17" s="5">
        <v>725381</v>
      </c>
      <c r="BJ17" s="4">
        <f t="shared" si="23"/>
        <v>0.99811352428338695</v>
      </c>
    </row>
    <row r="18" spans="1:62" x14ac:dyDescent="0.3">
      <c r="A18" s="10">
        <v>9</v>
      </c>
      <c r="B18" s="2" t="s">
        <v>14</v>
      </c>
      <c r="C18" s="5">
        <v>921236</v>
      </c>
      <c r="D18" s="5">
        <v>463533</v>
      </c>
      <c r="E18" s="3">
        <f t="shared" si="0"/>
        <v>454295</v>
      </c>
      <c r="F18" s="5">
        <v>917828</v>
      </c>
      <c r="G18" s="4">
        <f t="shared" si="1"/>
        <v>0.99630062220755589</v>
      </c>
      <c r="H18" s="5">
        <v>943261</v>
      </c>
      <c r="I18" s="5">
        <v>483030</v>
      </c>
      <c r="J18" s="3">
        <f t="shared" si="2"/>
        <v>449454</v>
      </c>
      <c r="K18" s="5">
        <v>932484</v>
      </c>
      <c r="L18" s="4">
        <f t="shared" si="3"/>
        <v>0.98857474230356179</v>
      </c>
      <c r="M18" s="5">
        <v>1440086</v>
      </c>
      <c r="N18" s="5">
        <v>694090</v>
      </c>
      <c r="O18" s="3">
        <f t="shared" si="4"/>
        <v>736438</v>
      </c>
      <c r="P18" s="5">
        <v>1430528</v>
      </c>
      <c r="Q18" s="4">
        <f t="shared" si="5"/>
        <v>0.99336289638257713</v>
      </c>
      <c r="R18" s="5">
        <v>938677</v>
      </c>
      <c r="S18" s="5">
        <v>472567</v>
      </c>
      <c r="T18" s="3">
        <f t="shared" si="6"/>
        <v>455608</v>
      </c>
      <c r="U18" s="5">
        <v>928175</v>
      </c>
      <c r="V18" s="4">
        <f t="shared" si="7"/>
        <v>0.98881191293703796</v>
      </c>
      <c r="W18" s="5">
        <v>958009</v>
      </c>
      <c r="X18" s="5">
        <v>481180</v>
      </c>
      <c r="Y18" s="3">
        <f t="shared" si="8"/>
        <v>462076</v>
      </c>
      <c r="Z18" s="5">
        <v>943256</v>
      </c>
      <c r="AA18" s="4">
        <f t="shared" si="9"/>
        <v>0.98460035344135599</v>
      </c>
      <c r="AB18" s="5">
        <v>1463397</v>
      </c>
      <c r="AC18" s="5">
        <v>703758</v>
      </c>
      <c r="AD18" s="3">
        <f t="shared" si="10"/>
        <v>750971</v>
      </c>
      <c r="AE18" s="5">
        <v>1454729</v>
      </c>
      <c r="AF18" s="4">
        <f t="shared" si="11"/>
        <v>0.99407679529204995</v>
      </c>
      <c r="AG18" s="5">
        <v>959088</v>
      </c>
      <c r="AH18" s="13">
        <v>481971</v>
      </c>
      <c r="AI18" s="3">
        <f t="shared" si="12"/>
        <v>468961</v>
      </c>
      <c r="AJ18" s="5">
        <v>950932</v>
      </c>
      <c r="AK18" s="4">
        <f t="shared" si="13"/>
        <v>0.99149608795021937</v>
      </c>
      <c r="AL18" s="5">
        <v>980581</v>
      </c>
      <c r="AM18" s="13">
        <v>494021</v>
      </c>
      <c r="AN18" s="3">
        <f t="shared" si="14"/>
        <v>469932</v>
      </c>
      <c r="AO18" s="5">
        <v>963953</v>
      </c>
      <c r="AP18" s="4">
        <f t="shared" si="15"/>
        <v>0.98304270631390978</v>
      </c>
      <c r="AQ18" s="5">
        <v>1490329</v>
      </c>
      <c r="AR18" s="13">
        <v>732983</v>
      </c>
      <c r="AS18" s="3">
        <f t="shared" si="16"/>
        <v>752723</v>
      </c>
      <c r="AT18" s="5">
        <v>1485706</v>
      </c>
      <c r="AU18" s="4">
        <f t="shared" si="17"/>
        <v>0.99689800037441401</v>
      </c>
      <c r="AV18" s="5">
        <v>983291</v>
      </c>
      <c r="AW18" s="13">
        <v>509298</v>
      </c>
      <c r="AX18" s="3">
        <f t="shared" si="18"/>
        <v>464698</v>
      </c>
      <c r="AY18" s="5">
        <v>973996</v>
      </c>
      <c r="AZ18" s="4">
        <f t="shared" si="19"/>
        <v>0.990547050669639</v>
      </c>
      <c r="BA18" s="5">
        <v>1002255</v>
      </c>
      <c r="BB18" s="13">
        <v>514513</v>
      </c>
      <c r="BC18" s="3">
        <f t="shared" si="20"/>
        <v>472947</v>
      </c>
      <c r="BD18" s="5">
        <v>987460</v>
      </c>
      <c r="BE18" s="4">
        <f t="shared" si="21"/>
        <v>0.98523828766132371</v>
      </c>
      <c r="BF18" s="5">
        <v>1522890</v>
      </c>
      <c r="BG18" s="13">
        <v>703619</v>
      </c>
      <c r="BH18" s="3">
        <f t="shared" si="22"/>
        <v>808799</v>
      </c>
      <c r="BI18" s="5">
        <v>1512418</v>
      </c>
      <c r="BJ18" s="4">
        <f t="shared" si="23"/>
        <v>0.99312360052269044</v>
      </c>
    </row>
    <row r="19" spans="1:62" x14ac:dyDescent="0.3">
      <c r="A19" s="11">
        <v>10</v>
      </c>
      <c r="B19" s="2" t="s">
        <v>15</v>
      </c>
      <c r="C19" s="5">
        <v>275195</v>
      </c>
      <c r="D19" s="5">
        <v>85464</v>
      </c>
      <c r="E19" s="3">
        <f t="shared" si="0"/>
        <v>185627</v>
      </c>
      <c r="F19" s="5">
        <v>271091</v>
      </c>
      <c r="G19" s="4">
        <f t="shared" si="1"/>
        <v>0.98508693835280436</v>
      </c>
      <c r="H19" s="5">
        <v>285702</v>
      </c>
      <c r="I19" s="5">
        <v>87608</v>
      </c>
      <c r="J19" s="3">
        <f t="shared" si="2"/>
        <v>189571</v>
      </c>
      <c r="K19" s="5">
        <v>277179</v>
      </c>
      <c r="L19" s="4">
        <f t="shared" si="3"/>
        <v>0.97016821723334101</v>
      </c>
      <c r="M19" s="5">
        <v>479092</v>
      </c>
      <c r="N19" s="5">
        <v>142398</v>
      </c>
      <c r="O19" s="3">
        <f t="shared" si="4"/>
        <v>327840</v>
      </c>
      <c r="P19" s="5">
        <v>470238</v>
      </c>
      <c r="Q19" s="4">
        <f t="shared" si="5"/>
        <v>0.98151920716689067</v>
      </c>
      <c r="R19" s="5">
        <v>279649</v>
      </c>
      <c r="S19" s="5">
        <v>86817</v>
      </c>
      <c r="T19" s="3">
        <f t="shared" si="6"/>
        <v>185483</v>
      </c>
      <c r="U19" s="5">
        <v>272300</v>
      </c>
      <c r="V19" s="4">
        <f t="shared" si="7"/>
        <v>0.97372062835912165</v>
      </c>
      <c r="W19" s="5">
        <v>287758</v>
      </c>
      <c r="X19" s="5">
        <v>88230</v>
      </c>
      <c r="Y19" s="3">
        <f t="shared" si="8"/>
        <v>188367</v>
      </c>
      <c r="Z19" s="5">
        <v>276597</v>
      </c>
      <c r="AA19" s="4">
        <f t="shared" si="9"/>
        <v>0.96121393671070832</v>
      </c>
      <c r="AB19" s="5">
        <v>485015</v>
      </c>
      <c r="AC19" s="5">
        <v>144558</v>
      </c>
      <c r="AD19" s="3">
        <f t="shared" si="10"/>
        <v>331755</v>
      </c>
      <c r="AE19" s="5">
        <v>476313</v>
      </c>
      <c r="AF19" s="4">
        <f t="shared" si="11"/>
        <v>0.9820582868571075</v>
      </c>
      <c r="AG19" s="5">
        <v>283525</v>
      </c>
      <c r="AH19" s="13">
        <v>92392</v>
      </c>
      <c r="AI19" s="3">
        <f t="shared" si="12"/>
        <v>183971</v>
      </c>
      <c r="AJ19" s="5">
        <v>276363</v>
      </c>
      <c r="AK19" s="4">
        <f t="shared" si="13"/>
        <v>0.97473944096640508</v>
      </c>
      <c r="AL19" s="5">
        <v>295027</v>
      </c>
      <c r="AM19" s="13">
        <v>93946</v>
      </c>
      <c r="AN19" s="3">
        <f t="shared" si="14"/>
        <v>188017</v>
      </c>
      <c r="AO19" s="5">
        <v>281963</v>
      </c>
      <c r="AP19" s="4">
        <f t="shared" si="15"/>
        <v>0.95571930704647368</v>
      </c>
      <c r="AQ19" s="5">
        <v>494059</v>
      </c>
      <c r="AR19" s="13">
        <v>152139</v>
      </c>
      <c r="AS19" s="3">
        <f t="shared" si="16"/>
        <v>335596</v>
      </c>
      <c r="AT19" s="5">
        <v>487735</v>
      </c>
      <c r="AU19" s="4">
        <f t="shared" si="17"/>
        <v>0.98719990932257073</v>
      </c>
      <c r="AV19" s="5">
        <v>287237</v>
      </c>
      <c r="AW19" s="13">
        <v>96990</v>
      </c>
      <c r="AX19" s="3">
        <f t="shared" si="18"/>
        <v>185912</v>
      </c>
      <c r="AY19" s="5">
        <v>282902</v>
      </c>
      <c r="AZ19" s="4">
        <f t="shared" si="19"/>
        <v>0.98490793317016956</v>
      </c>
      <c r="BA19" s="5">
        <v>298081</v>
      </c>
      <c r="BB19" s="13">
        <v>96192</v>
      </c>
      <c r="BC19" s="3">
        <f t="shared" si="20"/>
        <v>191138</v>
      </c>
      <c r="BD19" s="5">
        <v>287330</v>
      </c>
      <c r="BE19" s="4">
        <f t="shared" si="21"/>
        <v>0.96393262234090737</v>
      </c>
      <c r="BF19" s="5">
        <v>503654</v>
      </c>
      <c r="BG19" s="13">
        <v>138584</v>
      </c>
      <c r="BH19" s="3">
        <f t="shared" si="22"/>
        <v>355227</v>
      </c>
      <c r="BI19" s="5">
        <v>493811</v>
      </c>
      <c r="BJ19" s="4">
        <f t="shared" si="23"/>
        <v>0.9804568215481263</v>
      </c>
    </row>
    <row r="20" spans="1:62" x14ac:dyDescent="0.3">
      <c r="A20" s="11">
        <v>11</v>
      </c>
      <c r="B20" s="2" t="s">
        <v>16</v>
      </c>
      <c r="C20" s="5">
        <v>5644</v>
      </c>
      <c r="D20" s="5">
        <v>2256</v>
      </c>
      <c r="E20" s="3">
        <f t="shared" si="0"/>
        <v>3532</v>
      </c>
      <c r="F20" s="5">
        <v>5788</v>
      </c>
      <c r="G20" s="4">
        <f t="shared" si="1"/>
        <v>1.0255138199858256</v>
      </c>
      <c r="H20" s="5">
        <v>5914</v>
      </c>
      <c r="I20" s="5">
        <v>2313</v>
      </c>
      <c r="J20" s="3">
        <f t="shared" si="2"/>
        <v>3639</v>
      </c>
      <c r="K20" s="5">
        <v>5952</v>
      </c>
      <c r="L20" s="4">
        <f t="shared" si="3"/>
        <v>1.0064254311802503</v>
      </c>
      <c r="M20" s="5">
        <v>9037</v>
      </c>
      <c r="N20" s="5">
        <v>3567</v>
      </c>
      <c r="O20" s="3">
        <f t="shared" si="4"/>
        <v>5715</v>
      </c>
      <c r="P20" s="5">
        <v>9282</v>
      </c>
      <c r="Q20" s="4">
        <f t="shared" si="5"/>
        <v>1.0271107668474051</v>
      </c>
      <c r="R20" s="5">
        <v>5910</v>
      </c>
      <c r="S20" s="5">
        <v>2387</v>
      </c>
      <c r="T20" s="3">
        <f t="shared" si="6"/>
        <v>3633</v>
      </c>
      <c r="U20" s="5">
        <v>6020</v>
      </c>
      <c r="V20" s="4">
        <f t="shared" si="7"/>
        <v>1.0186125211505923</v>
      </c>
      <c r="W20" s="5">
        <v>6115</v>
      </c>
      <c r="X20" s="5">
        <v>2405</v>
      </c>
      <c r="Y20" s="3">
        <f t="shared" si="8"/>
        <v>3717</v>
      </c>
      <c r="Z20" s="5">
        <v>6122</v>
      </c>
      <c r="AA20" s="4">
        <f t="shared" si="9"/>
        <v>1.0011447260834014</v>
      </c>
      <c r="AB20" s="5">
        <v>9431</v>
      </c>
      <c r="AC20" s="5">
        <v>3773</v>
      </c>
      <c r="AD20" s="3">
        <f t="shared" si="10"/>
        <v>5776</v>
      </c>
      <c r="AE20" s="5">
        <v>9549</v>
      </c>
      <c r="AF20" s="4">
        <f t="shared" si="11"/>
        <v>1.0125119287456261</v>
      </c>
      <c r="AG20" s="5">
        <v>6099</v>
      </c>
      <c r="AH20" s="13">
        <v>2590</v>
      </c>
      <c r="AI20" s="3">
        <f t="shared" si="12"/>
        <v>3553</v>
      </c>
      <c r="AJ20" s="5">
        <v>6143</v>
      </c>
      <c r="AK20" s="4">
        <f t="shared" si="13"/>
        <v>1.0072142974258076</v>
      </c>
      <c r="AL20" s="5">
        <v>6250</v>
      </c>
      <c r="AM20" s="13">
        <v>2798</v>
      </c>
      <c r="AN20" s="3">
        <f t="shared" si="14"/>
        <v>3429</v>
      </c>
      <c r="AO20" s="5">
        <v>6227</v>
      </c>
      <c r="AP20" s="4">
        <f t="shared" si="15"/>
        <v>0.99631999999999998</v>
      </c>
      <c r="AQ20" s="5">
        <v>9632</v>
      </c>
      <c r="AR20" s="13">
        <v>3775</v>
      </c>
      <c r="AS20" s="3">
        <f t="shared" si="16"/>
        <v>5958</v>
      </c>
      <c r="AT20" s="5">
        <v>9733</v>
      </c>
      <c r="AU20" s="4">
        <f t="shared" si="17"/>
        <v>1.0104858803986712</v>
      </c>
      <c r="AV20" s="5">
        <v>6297</v>
      </c>
      <c r="AW20" s="13">
        <v>2627</v>
      </c>
      <c r="AX20" s="3">
        <f t="shared" si="18"/>
        <v>3615</v>
      </c>
      <c r="AY20" s="5">
        <v>6242</v>
      </c>
      <c r="AZ20" s="4">
        <f t="shared" si="19"/>
        <v>0.99126568207082733</v>
      </c>
      <c r="BA20" s="5">
        <v>6366</v>
      </c>
      <c r="BB20" s="13">
        <v>2564</v>
      </c>
      <c r="BC20" s="3">
        <f t="shared" si="20"/>
        <v>3718</v>
      </c>
      <c r="BD20" s="5">
        <v>6282</v>
      </c>
      <c r="BE20" s="4">
        <f t="shared" si="21"/>
        <v>0.98680490103675778</v>
      </c>
      <c r="BF20" s="5">
        <v>9853</v>
      </c>
      <c r="BG20" s="13">
        <v>3537</v>
      </c>
      <c r="BH20" s="3">
        <f t="shared" si="22"/>
        <v>6343</v>
      </c>
      <c r="BI20" s="5">
        <v>9880</v>
      </c>
      <c r="BJ20" s="4">
        <f t="shared" si="23"/>
        <v>1.0027402821475693</v>
      </c>
    </row>
    <row r="21" spans="1:62" x14ac:dyDescent="0.3">
      <c r="A21" s="11">
        <v>12</v>
      </c>
      <c r="B21" s="2" t="s">
        <v>17</v>
      </c>
      <c r="C21" s="5">
        <v>9571</v>
      </c>
      <c r="D21" s="5">
        <v>2217</v>
      </c>
      <c r="E21" s="3">
        <f t="shared" si="0"/>
        <v>7612</v>
      </c>
      <c r="F21" s="5">
        <v>9829</v>
      </c>
      <c r="G21" s="4">
        <f t="shared" si="1"/>
        <v>1.026956430884965</v>
      </c>
      <c r="H21" s="5">
        <v>10057</v>
      </c>
      <c r="I21" s="5">
        <v>2717</v>
      </c>
      <c r="J21" s="3">
        <f t="shared" si="2"/>
        <v>7254</v>
      </c>
      <c r="K21" s="5">
        <v>9971</v>
      </c>
      <c r="L21" s="4">
        <f t="shared" si="3"/>
        <v>0.99144874216963308</v>
      </c>
      <c r="M21" s="5">
        <v>12982</v>
      </c>
      <c r="N21" s="5">
        <v>3444</v>
      </c>
      <c r="O21" s="3">
        <f t="shared" si="4"/>
        <v>9793</v>
      </c>
      <c r="P21" s="5">
        <v>13237</v>
      </c>
      <c r="Q21" s="4">
        <f t="shared" si="5"/>
        <v>1.0196425820366661</v>
      </c>
      <c r="R21" s="5">
        <v>9811</v>
      </c>
      <c r="S21" s="5">
        <v>2714</v>
      </c>
      <c r="T21" s="3">
        <f t="shared" si="6"/>
        <v>7316</v>
      </c>
      <c r="U21" s="5">
        <v>10030</v>
      </c>
      <c r="V21" s="4">
        <f t="shared" si="7"/>
        <v>1.0223218836000407</v>
      </c>
      <c r="W21" s="5">
        <v>10152</v>
      </c>
      <c r="X21" s="5">
        <v>2791</v>
      </c>
      <c r="Y21" s="3">
        <f t="shared" si="8"/>
        <v>7372</v>
      </c>
      <c r="Z21" s="5">
        <v>10163</v>
      </c>
      <c r="AA21" s="4">
        <f t="shared" si="9"/>
        <v>1.0010835303388494</v>
      </c>
      <c r="AB21" s="5">
        <v>13231</v>
      </c>
      <c r="AC21" s="5">
        <v>3844</v>
      </c>
      <c r="AD21" s="3">
        <f t="shared" si="10"/>
        <v>9710</v>
      </c>
      <c r="AE21" s="5">
        <v>13554</v>
      </c>
      <c r="AF21" s="4">
        <f t="shared" si="11"/>
        <v>1.0244123649006123</v>
      </c>
      <c r="AG21" s="5">
        <v>10040</v>
      </c>
      <c r="AH21" s="13">
        <v>2854</v>
      </c>
      <c r="AI21" s="3">
        <f t="shared" si="12"/>
        <v>7380</v>
      </c>
      <c r="AJ21" s="5">
        <v>10234</v>
      </c>
      <c r="AK21" s="4">
        <f t="shared" si="13"/>
        <v>1.0193227091633466</v>
      </c>
      <c r="AL21" s="5">
        <v>10211</v>
      </c>
      <c r="AM21" s="13">
        <v>2879</v>
      </c>
      <c r="AN21" s="3">
        <f t="shared" si="14"/>
        <v>7506</v>
      </c>
      <c r="AO21" s="5">
        <v>10385</v>
      </c>
      <c r="AP21" s="4">
        <f t="shared" si="15"/>
        <v>1.0170404465772207</v>
      </c>
      <c r="AQ21" s="5">
        <v>13473</v>
      </c>
      <c r="AR21" s="13">
        <v>3814</v>
      </c>
      <c r="AS21" s="3">
        <f t="shared" si="16"/>
        <v>10065</v>
      </c>
      <c r="AT21" s="5">
        <v>13879</v>
      </c>
      <c r="AU21" s="4">
        <f t="shared" si="17"/>
        <v>1.0301343427595933</v>
      </c>
      <c r="AV21" s="5">
        <v>10213</v>
      </c>
      <c r="AW21" s="13">
        <v>2804</v>
      </c>
      <c r="AX21" s="3">
        <f t="shared" si="18"/>
        <v>7680</v>
      </c>
      <c r="AY21" s="5">
        <v>10484</v>
      </c>
      <c r="AZ21" s="4">
        <f t="shared" si="19"/>
        <v>1.0265348085773034</v>
      </c>
      <c r="BA21" s="5">
        <v>10449</v>
      </c>
      <c r="BB21" s="13">
        <v>2838</v>
      </c>
      <c r="BC21" s="3">
        <f t="shared" si="20"/>
        <v>7784</v>
      </c>
      <c r="BD21" s="5">
        <v>10622</v>
      </c>
      <c r="BE21" s="4">
        <f t="shared" si="21"/>
        <v>1.0165566082878745</v>
      </c>
      <c r="BF21" s="5">
        <v>13925</v>
      </c>
      <c r="BG21" s="13">
        <v>3448</v>
      </c>
      <c r="BH21" s="3">
        <f t="shared" si="22"/>
        <v>10854</v>
      </c>
      <c r="BI21" s="5">
        <v>14302</v>
      </c>
      <c r="BJ21" s="4">
        <f t="shared" si="23"/>
        <v>1.0270736086175942</v>
      </c>
    </row>
    <row r="22" spans="1:62" x14ac:dyDescent="0.3">
      <c r="A22" s="11">
        <v>13</v>
      </c>
      <c r="B22" s="2" t="s">
        <v>18</v>
      </c>
      <c r="C22" s="5">
        <v>6159</v>
      </c>
      <c r="D22" s="5">
        <v>2028</v>
      </c>
      <c r="E22" s="3">
        <f t="shared" si="0"/>
        <v>4194</v>
      </c>
      <c r="F22" s="5">
        <v>6222</v>
      </c>
      <c r="G22" s="4">
        <f t="shared" si="1"/>
        <v>1.0102289332683878</v>
      </c>
      <c r="H22" s="5">
        <v>6265</v>
      </c>
      <c r="I22" s="5">
        <v>1943</v>
      </c>
      <c r="J22" s="3">
        <f t="shared" si="2"/>
        <v>4364</v>
      </c>
      <c r="K22" s="5">
        <v>6307</v>
      </c>
      <c r="L22" s="4">
        <f t="shared" si="3"/>
        <v>1.0067039106145252</v>
      </c>
      <c r="M22" s="5">
        <v>7537</v>
      </c>
      <c r="N22" s="5">
        <v>2508</v>
      </c>
      <c r="O22" s="3">
        <f t="shared" si="4"/>
        <v>5096</v>
      </c>
      <c r="P22" s="5">
        <v>7604</v>
      </c>
      <c r="Q22" s="4">
        <f t="shared" si="5"/>
        <v>1.0088894785723763</v>
      </c>
      <c r="R22" s="5">
        <v>6306</v>
      </c>
      <c r="S22" s="5">
        <v>1958</v>
      </c>
      <c r="T22" s="3">
        <f t="shared" si="6"/>
        <v>4397</v>
      </c>
      <c r="U22" s="5">
        <v>6355</v>
      </c>
      <c r="V22" s="4">
        <f t="shared" si="7"/>
        <v>1.0077703774183318</v>
      </c>
      <c r="W22" s="5">
        <v>6435</v>
      </c>
      <c r="X22" s="5">
        <v>2042</v>
      </c>
      <c r="Y22" s="3">
        <f t="shared" si="8"/>
        <v>4387</v>
      </c>
      <c r="Z22" s="5">
        <v>6429</v>
      </c>
      <c r="AA22" s="4">
        <f t="shared" si="9"/>
        <v>0.99906759906759912</v>
      </c>
      <c r="AB22" s="5">
        <v>7668</v>
      </c>
      <c r="AC22" s="5">
        <v>2427</v>
      </c>
      <c r="AD22" s="3">
        <f t="shared" si="10"/>
        <v>5281</v>
      </c>
      <c r="AE22" s="5">
        <v>7708</v>
      </c>
      <c r="AF22" s="4">
        <f t="shared" si="11"/>
        <v>1.0052164840897235</v>
      </c>
      <c r="AG22" s="5">
        <v>6422</v>
      </c>
      <c r="AH22" s="13">
        <v>2052</v>
      </c>
      <c r="AI22" s="3">
        <f t="shared" si="12"/>
        <v>4391</v>
      </c>
      <c r="AJ22" s="5">
        <v>6443</v>
      </c>
      <c r="AK22" s="4">
        <f t="shared" si="13"/>
        <v>1.0032700093428839</v>
      </c>
      <c r="AL22" s="5">
        <v>6508</v>
      </c>
      <c r="AM22" s="13">
        <v>2080</v>
      </c>
      <c r="AN22" s="3">
        <f t="shared" si="14"/>
        <v>4413</v>
      </c>
      <c r="AO22" s="5">
        <v>6493</v>
      </c>
      <c r="AP22" s="4">
        <f t="shared" si="15"/>
        <v>0.9976951444376152</v>
      </c>
      <c r="AQ22" s="5">
        <v>7781</v>
      </c>
      <c r="AR22" s="13">
        <v>2416</v>
      </c>
      <c r="AS22" s="3">
        <f t="shared" si="16"/>
        <v>5383</v>
      </c>
      <c r="AT22" s="5">
        <v>7799</v>
      </c>
      <c r="AU22" s="4">
        <f t="shared" si="17"/>
        <v>1.002313327335818</v>
      </c>
      <c r="AV22" s="5">
        <v>6603</v>
      </c>
      <c r="AW22" s="13">
        <v>2044</v>
      </c>
      <c r="AX22" s="3">
        <f t="shared" si="18"/>
        <v>4460</v>
      </c>
      <c r="AY22" s="5">
        <v>6504</v>
      </c>
      <c r="AZ22" s="4">
        <f t="shared" si="19"/>
        <v>0.98500681508405274</v>
      </c>
      <c r="BA22" s="5">
        <v>6608</v>
      </c>
      <c r="BB22" s="13">
        <v>2145</v>
      </c>
      <c r="BC22" s="3">
        <f t="shared" si="20"/>
        <v>4400</v>
      </c>
      <c r="BD22" s="5">
        <v>6545</v>
      </c>
      <c r="BE22" s="4">
        <f t="shared" si="21"/>
        <v>0.99046610169491522</v>
      </c>
      <c r="BF22" s="5">
        <v>7906</v>
      </c>
      <c r="BG22" s="13">
        <v>2348</v>
      </c>
      <c r="BH22" s="3">
        <f t="shared" si="22"/>
        <v>5589</v>
      </c>
      <c r="BI22" s="5">
        <v>7937</v>
      </c>
      <c r="BJ22" s="4">
        <f t="shared" si="23"/>
        <v>1.0039210726030863</v>
      </c>
    </row>
    <row r="23" spans="1:62" x14ac:dyDescent="0.3">
      <c r="A23" s="11">
        <v>14</v>
      </c>
      <c r="B23" s="2" t="s">
        <v>19</v>
      </c>
      <c r="C23" s="5">
        <v>8800</v>
      </c>
      <c r="D23" s="5">
        <v>1119</v>
      </c>
      <c r="E23" s="3">
        <f t="shared" si="0"/>
        <v>7365</v>
      </c>
      <c r="F23" s="5">
        <v>8484</v>
      </c>
      <c r="G23" s="4">
        <f t="shared" si="1"/>
        <v>0.96409090909090911</v>
      </c>
      <c r="H23" s="5">
        <v>8763</v>
      </c>
      <c r="I23" s="5">
        <v>1518</v>
      </c>
      <c r="J23" s="3">
        <f t="shared" si="2"/>
        <v>6996</v>
      </c>
      <c r="K23" s="5">
        <v>8514</v>
      </c>
      <c r="L23" s="4">
        <f t="shared" si="3"/>
        <v>0.97158507360492985</v>
      </c>
      <c r="M23" s="5">
        <v>10654</v>
      </c>
      <c r="N23" s="5">
        <v>2385</v>
      </c>
      <c r="O23" s="3">
        <f t="shared" si="4"/>
        <v>8115</v>
      </c>
      <c r="P23" s="5">
        <v>10500</v>
      </c>
      <c r="Q23" s="4">
        <f t="shared" si="5"/>
        <v>0.98554533508541398</v>
      </c>
      <c r="R23" s="5">
        <v>8621</v>
      </c>
      <c r="S23" s="5">
        <v>1989</v>
      </c>
      <c r="T23" s="3">
        <f t="shared" si="6"/>
        <v>6391</v>
      </c>
      <c r="U23" s="5">
        <v>8380</v>
      </c>
      <c r="V23" s="4">
        <f t="shared" si="7"/>
        <v>0.97204500637977032</v>
      </c>
      <c r="W23" s="5">
        <v>8774</v>
      </c>
      <c r="X23" s="5">
        <v>2156</v>
      </c>
      <c r="Y23" s="3">
        <f t="shared" si="8"/>
        <v>6278</v>
      </c>
      <c r="Z23" s="5">
        <v>8434</v>
      </c>
      <c r="AA23" s="4">
        <f t="shared" si="9"/>
        <v>0.96124914520173244</v>
      </c>
      <c r="AB23" s="5">
        <v>10734</v>
      </c>
      <c r="AC23" s="5">
        <v>2905</v>
      </c>
      <c r="AD23" s="3">
        <f t="shared" si="10"/>
        <v>7661</v>
      </c>
      <c r="AE23" s="5">
        <v>10566</v>
      </c>
      <c r="AF23" s="4">
        <f t="shared" si="11"/>
        <v>0.98434879821129118</v>
      </c>
      <c r="AG23" s="5">
        <v>8589</v>
      </c>
      <c r="AH23" s="13">
        <v>2323</v>
      </c>
      <c r="AI23" s="3">
        <f t="shared" si="12"/>
        <v>6110</v>
      </c>
      <c r="AJ23" s="5">
        <v>8433</v>
      </c>
      <c r="AK23" s="4">
        <f t="shared" si="13"/>
        <v>0.98183723367097453</v>
      </c>
      <c r="AL23" s="5">
        <v>8660</v>
      </c>
      <c r="AM23" s="13">
        <v>2574</v>
      </c>
      <c r="AN23" s="3">
        <f t="shared" si="14"/>
        <v>5931</v>
      </c>
      <c r="AO23" s="5">
        <v>8505</v>
      </c>
      <c r="AP23" s="4">
        <f t="shared" si="15"/>
        <v>0.98210161662817552</v>
      </c>
      <c r="AQ23" s="5">
        <v>10698</v>
      </c>
      <c r="AR23" s="13">
        <v>3107</v>
      </c>
      <c r="AS23" s="3">
        <f t="shared" si="16"/>
        <v>7629</v>
      </c>
      <c r="AT23" s="5">
        <v>10736</v>
      </c>
      <c r="AU23" s="4">
        <f t="shared" si="17"/>
        <v>1.0035520658066928</v>
      </c>
      <c r="AV23" s="5">
        <v>8445</v>
      </c>
      <c r="AW23" s="13">
        <v>2420</v>
      </c>
      <c r="AX23" s="3">
        <f t="shared" si="18"/>
        <v>6066</v>
      </c>
      <c r="AY23" s="5">
        <v>8486</v>
      </c>
      <c r="AZ23" s="4">
        <f t="shared" si="19"/>
        <v>1.0048549437537004</v>
      </c>
      <c r="BA23" s="5">
        <v>8623</v>
      </c>
      <c r="BB23" s="13">
        <v>2549</v>
      </c>
      <c r="BC23" s="3">
        <f t="shared" si="20"/>
        <v>5982</v>
      </c>
      <c r="BD23" s="5">
        <v>8531</v>
      </c>
      <c r="BE23" s="4">
        <f t="shared" si="21"/>
        <v>0.98933085932969966</v>
      </c>
      <c r="BF23" s="5">
        <v>11023</v>
      </c>
      <c r="BG23" s="13">
        <v>2978</v>
      </c>
      <c r="BH23" s="3">
        <f t="shared" si="22"/>
        <v>7934</v>
      </c>
      <c r="BI23" s="5">
        <v>10912</v>
      </c>
      <c r="BJ23" s="4">
        <f t="shared" si="23"/>
        <v>0.98993014605824181</v>
      </c>
    </row>
    <row r="24" spans="1:62" x14ac:dyDescent="0.3">
      <c r="A24" s="11">
        <v>15</v>
      </c>
      <c r="B24" s="2" t="s">
        <v>20</v>
      </c>
      <c r="C24" s="5">
        <v>5637</v>
      </c>
      <c r="D24" s="5">
        <v>1404</v>
      </c>
      <c r="E24" s="3">
        <f t="shared" si="0"/>
        <v>4156</v>
      </c>
      <c r="F24" s="5">
        <v>5560</v>
      </c>
      <c r="G24" s="4">
        <f t="shared" si="1"/>
        <v>0.98634025190704278</v>
      </c>
      <c r="H24" s="5">
        <v>5804</v>
      </c>
      <c r="I24" s="5">
        <v>1385</v>
      </c>
      <c r="J24" s="3">
        <f t="shared" si="2"/>
        <v>4249</v>
      </c>
      <c r="K24" s="5">
        <v>5634</v>
      </c>
      <c r="L24" s="4">
        <f t="shared" si="3"/>
        <v>0.97070985527222609</v>
      </c>
      <c r="M24" s="5">
        <v>6771</v>
      </c>
      <c r="N24" s="5">
        <v>1663</v>
      </c>
      <c r="O24" s="3">
        <f t="shared" si="4"/>
        <v>4962</v>
      </c>
      <c r="P24" s="5">
        <v>6625</v>
      </c>
      <c r="Q24" s="4">
        <f t="shared" si="5"/>
        <v>0.97843745384728986</v>
      </c>
      <c r="R24" s="5">
        <v>5821</v>
      </c>
      <c r="S24" s="5">
        <v>1583</v>
      </c>
      <c r="T24" s="3">
        <f t="shared" si="6"/>
        <v>4150</v>
      </c>
      <c r="U24" s="5">
        <v>5733</v>
      </c>
      <c r="V24" s="4">
        <f t="shared" si="7"/>
        <v>0.98488232262497855</v>
      </c>
      <c r="W24" s="5">
        <v>5925</v>
      </c>
      <c r="X24" s="5">
        <v>1407</v>
      </c>
      <c r="Y24" s="3">
        <f t="shared" si="8"/>
        <v>4398</v>
      </c>
      <c r="Z24" s="5">
        <v>5805</v>
      </c>
      <c r="AA24" s="4">
        <f t="shared" si="9"/>
        <v>0.97974683544303798</v>
      </c>
      <c r="AB24" s="5">
        <v>6940</v>
      </c>
      <c r="AC24" s="5">
        <v>1577</v>
      </c>
      <c r="AD24" s="3">
        <f t="shared" si="10"/>
        <v>5235</v>
      </c>
      <c r="AE24" s="5">
        <v>6812</v>
      </c>
      <c r="AF24" s="4">
        <f t="shared" si="11"/>
        <v>0.98155619596541788</v>
      </c>
      <c r="AG24" s="5">
        <v>6076</v>
      </c>
      <c r="AH24" s="13">
        <v>1332</v>
      </c>
      <c r="AI24" s="3">
        <f t="shared" si="12"/>
        <v>4618</v>
      </c>
      <c r="AJ24" s="5">
        <v>5950</v>
      </c>
      <c r="AK24" s="4">
        <f t="shared" si="13"/>
        <v>0.97926267281105994</v>
      </c>
      <c r="AL24" s="5">
        <v>6181</v>
      </c>
      <c r="AM24" s="13">
        <v>1579</v>
      </c>
      <c r="AN24" s="3">
        <f t="shared" si="14"/>
        <v>4434</v>
      </c>
      <c r="AO24" s="5">
        <v>6013</v>
      </c>
      <c r="AP24" s="4">
        <f t="shared" si="15"/>
        <v>0.97281993204983008</v>
      </c>
      <c r="AQ24" s="5">
        <v>6974</v>
      </c>
      <c r="AR24" s="13">
        <v>1440</v>
      </c>
      <c r="AS24" s="3">
        <f t="shared" si="16"/>
        <v>5464</v>
      </c>
      <c r="AT24" s="5">
        <v>6904</v>
      </c>
      <c r="AU24" s="4">
        <f t="shared" si="17"/>
        <v>0.98996271866934327</v>
      </c>
      <c r="AV24" s="5">
        <v>6124</v>
      </c>
      <c r="AW24" s="13">
        <v>1347</v>
      </c>
      <c r="AX24" s="3">
        <f t="shared" si="18"/>
        <v>4693</v>
      </c>
      <c r="AY24" s="5">
        <v>6040</v>
      </c>
      <c r="AZ24" s="4">
        <f t="shared" si="19"/>
        <v>0.98628347485303725</v>
      </c>
      <c r="BA24" s="5">
        <v>6202</v>
      </c>
      <c r="BB24" s="13">
        <v>1409</v>
      </c>
      <c r="BC24" s="3">
        <f t="shared" si="20"/>
        <v>4722</v>
      </c>
      <c r="BD24" s="5">
        <v>6131</v>
      </c>
      <c r="BE24" s="4">
        <f t="shared" si="21"/>
        <v>0.98855207997420191</v>
      </c>
      <c r="BF24" s="5">
        <v>7084</v>
      </c>
      <c r="BG24" s="13">
        <v>1486</v>
      </c>
      <c r="BH24" s="3">
        <f t="shared" si="22"/>
        <v>5546</v>
      </c>
      <c r="BI24" s="5">
        <v>7032</v>
      </c>
      <c r="BJ24" s="4">
        <f t="shared" si="23"/>
        <v>0.99265951439864486</v>
      </c>
    </row>
    <row r="25" spans="1:62" x14ac:dyDescent="0.3">
      <c r="A25" s="11">
        <v>16</v>
      </c>
      <c r="B25" s="2" t="s">
        <v>21</v>
      </c>
      <c r="C25" s="5">
        <v>18284</v>
      </c>
      <c r="D25" s="5">
        <v>8422</v>
      </c>
      <c r="E25" s="3">
        <f t="shared" si="0"/>
        <v>10066</v>
      </c>
      <c r="F25" s="5">
        <v>18488</v>
      </c>
      <c r="G25" s="4">
        <f t="shared" si="1"/>
        <v>1.0111572959964996</v>
      </c>
      <c r="H25" s="5">
        <v>18682</v>
      </c>
      <c r="I25" s="5">
        <v>8511</v>
      </c>
      <c r="J25" s="3">
        <f t="shared" si="2"/>
        <v>10330</v>
      </c>
      <c r="K25" s="5">
        <v>18841</v>
      </c>
      <c r="L25" s="4">
        <f t="shared" si="3"/>
        <v>1.0085108660742961</v>
      </c>
      <c r="M25" s="5">
        <v>25970</v>
      </c>
      <c r="N25" s="5">
        <v>11784</v>
      </c>
      <c r="O25" s="3">
        <f t="shared" si="4"/>
        <v>14483</v>
      </c>
      <c r="P25" s="5">
        <v>26267</v>
      </c>
      <c r="Q25" s="4">
        <f t="shared" si="5"/>
        <v>1.0114362726222565</v>
      </c>
      <c r="R25" s="5">
        <v>18895</v>
      </c>
      <c r="S25" s="5">
        <v>8642</v>
      </c>
      <c r="T25" s="3">
        <f t="shared" si="6"/>
        <v>10393</v>
      </c>
      <c r="U25" s="5">
        <v>19035</v>
      </c>
      <c r="V25" s="4">
        <f t="shared" si="7"/>
        <v>1.0074093675575548</v>
      </c>
      <c r="W25" s="5">
        <v>19436</v>
      </c>
      <c r="X25" s="5">
        <v>8570</v>
      </c>
      <c r="Y25" s="3">
        <f t="shared" si="8"/>
        <v>10754</v>
      </c>
      <c r="Z25" s="5">
        <v>19324</v>
      </c>
      <c r="AA25" s="4">
        <f t="shared" si="9"/>
        <v>0.99423749742745415</v>
      </c>
      <c r="AB25" s="5">
        <v>26661</v>
      </c>
      <c r="AC25" s="5">
        <v>12257</v>
      </c>
      <c r="AD25" s="3">
        <f t="shared" si="10"/>
        <v>14604</v>
      </c>
      <c r="AE25" s="5">
        <v>26861</v>
      </c>
      <c r="AF25" s="4">
        <f t="shared" si="11"/>
        <v>1.007501594088744</v>
      </c>
      <c r="AG25" s="5">
        <v>19440</v>
      </c>
      <c r="AH25" s="13">
        <v>9030</v>
      </c>
      <c r="AI25" s="3">
        <f t="shared" si="12"/>
        <v>10471</v>
      </c>
      <c r="AJ25" s="5">
        <v>19501</v>
      </c>
      <c r="AK25" s="4">
        <f t="shared" si="13"/>
        <v>1.0031378600823044</v>
      </c>
      <c r="AL25" s="5">
        <v>19709</v>
      </c>
      <c r="AM25" s="13">
        <v>9159</v>
      </c>
      <c r="AN25" s="3">
        <f t="shared" si="14"/>
        <v>10518</v>
      </c>
      <c r="AO25" s="5">
        <v>19677</v>
      </c>
      <c r="AP25" s="4">
        <f t="shared" si="15"/>
        <v>0.99837637627479836</v>
      </c>
      <c r="AQ25" s="5">
        <v>27081</v>
      </c>
      <c r="AR25" s="13">
        <v>11814</v>
      </c>
      <c r="AS25" s="3">
        <f t="shared" si="16"/>
        <v>15478</v>
      </c>
      <c r="AT25" s="5">
        <v>27292</v>
      </c>
      <c r="AU25" s="4">
        <f t="shared" si="17"/>
        <v>1.0077914404933348</v>
      </c>
      <c r="AV25" s="5">
        <v>19795</v>
      </c>
      <c r="AW25" s="13">
        <v>9085</v>
      </c>
      <c r="AX25" s="3">
        <f t="shared" si="18"/>
        <v>10822</v>
      </c>
      <c r="AY25" s="5">
        <v>19907</v>
      </c>
      <c r="AZ25" s="4">
        <f t="shared" si="19"/>
        <v>1.0056579944430413</v>
      </c>
      <c r="BA25" s="5">
        <v>20139</v>
      </c>
      <c r="BB25" s="13">
        <v>9051</v>
      </c>
      <c r="BC25" s="3">
        <f t="shared" si="20"/>
        <v>11081</v>
      </c>
      <c r="BD25" s="5">
        <v>20132</v>
      </c>
      <c r="BE25" s="4">
        <f t="shared" si="21"/>
        <v>0.99965241571080987</v>
      </c>
      <c r="BF25" s="5">
        <v>27639</v>
      </c>
      <c r="BG25" s="13">
        <v>10870</v>
      </c>
      <c r="BH25" s="3">
        <f t="shared" si="22"/>
        <v>16909</v>
      </c>
      <c r="BI25" s="5">
        <v>27779</v>
      </c>
      <c r="BJ25" s="4">
        <f t="shared" si="23"/>
        <v>1.0050653062701256</v>
      </c>
    </row>
    <row r="26" spans="1:62" x14ac:dyDescent="0.3">
      <c r="A26" s="11">
        <v>17</v>
      </c>
      <c r="B26" s="2" t="s">
        <v>22</v>
      </c>
      <c r="C26" s="5">
        <v>13535</v>
      </c>
      <c r="D26" s="5">
        <v>4378</v>
      </c>
      <c r="E26" s="3">
        <f t="shared" si="0"/>
        <v>8939</v>
      </c>
      <c r="F26" s="5">
        <v>13317</v>
      </c>
      <c r="G26" s="4">
        <f t="shared" si="1"/>
        <v>0.98389360916143331</v>
      </c>
      <c r="H26" s="5">
        <v>13884</v>
      </c>
      <c r="I26" s="5">
        <v>4506</v>
      </c>
      <c r="J26" s="3">
        <f t="shared" si="2"/>
        <v>9405</v>
      </c>
      <c r="K26" s="5">
        <v>13911</v>
      </c>
      <c r="L26" s="4">
        <f t="shared" si="3"/>
        <v>1.0019446845289541</v>
      </c>
      <c r="M26" s="5">
        <v>25920</v>
      </c>
      <c r="N26" s="5">
        <v>8579</v>
      </c>
      <c r="O26" s="3">
        <f t="shared" si="4"/>
        <v>17750</v>
      </c>
      <c r="P26" s="5">
        <v>26329</v>
      </c>
      <c r="Q26" s="4">
        <f t="shared" si="5"/>
        <v>1.0157793209876542</v>
      </c>
      <c r="R26" s="5">
        <v>13869</v>
      </c>
      <c r="S26" s="5">
        <v>4590</v>
      </c>
      <c r="T26" s="3">
        <f t="shared" si="6"/>
        <v>9520</v>
      </c>
      <c r="U26" s="5">
        <v>14110</v>
      </c>
      <c r="V26" s="4">
        <f t="shared" si="7"/>
        <v>1.0173768836974548</v>
      </c>
      <c r="W26" s="5">
        <v>14474</v>
      </c>
      <c r="X26" s="5">
        <v>4858</v>
      </c>
      <c r="Y26" s="3">
        <f t="shared" si="8"/>
        <v>9557</v>
      </c>
      <c r="Z26" s="5">
        <v>14415</v>
      </c>
      <c r="AA26" s="4">
        <f t="shared" si="9"/>
        <v>0.99592372530053885</v>
      </c>
      <c r="AB26" s="5">
        <v>27035</v>
      </c>
      <c r="AC26" s="5">
        <v>8868</v>
      </c>
      <c r="AD26" s="3">
        <f t="shared" si="10"/>
        <v>18128</v>
      </c>
      <c r="AE26" s="5">
        <v>26996</v>
      </c>
      <c r="AF26" s="4">
        <f t="shared" si="11"/>
        <v>0.99855742555945992</v>
      </c>
      <c r="AG26" s="5">
        <v>14053</v>
      </c>
      <c r="AH26" s="13">
        <v>4668</v>
      </c>
      <c r="AI26" s="3">
        <f t="shared" si="12"/>
        <v>9379</v>
      </c>
      <c r="AJ26" s="5">
        <v>14047</v>
      </c>
      <c r="AK26" s="4">
        <f t="shared" si="13"/>
        <v>0.9995730449014445</v>
      </c>
      <c r="AL26" s="5">
        <v>14372</v>
      </c>
      <c r="AM26" s="13">
        <v>5108</v>
      </c>
      <c r="AN26" s="3">
        <f>AO26-AM26</f>
        <v>9101</v>
      </c>
      <c r="AO26" s="5">
        <v>14209</v>
      </c>
      <c r="AP26" s="4">
        <f t="shared" si="15"/>
        <v>0.9886585026440301</v>
      </c>
      <c r="AQ26" s="5">
        <v>27267</v>
      </c>
      <c r="AR26" s="13">
        <v>7999</v>
      </c>
      <c r="AS26" s="3">
        <f>AT26-AR26</f>
        <v>19100</v>
      </c>
      <c r="AT26" s="5">
        <v>27099</v>
      </c>
      <c r="AU26" s="4">
        <f t="shared" si="17"/>
        <v>0.99383870612828695</v>
      </c>
      <c r="AV26" s="5">
        <v>14007</v>
      </c>
      <c r="AW26" s="13">
        <v>4606</v>
      </c>
      <c r="AX26" s="3">
        <f>AY26-AW26</f>
        <v>9368</v>
      </c>
      <c r="AY26" s="5">
        <v>13974</v>
      </c>
      <c r="AZ26" s="4">
        <f t="shared" si="19"/>
        <v>0.99764403512529454</v>
      </c>
      <c r="BA26" s="5">
        <v>14398</v>
      </c>
      <c r="BB26" s="13">
        <v>4794</v>
      </c>
      <c r="BC26" s="3">
        <f>BD26-BB26</f>
        <v>9275</v>
      </c>
      <c r="BD26" s="5">
        <v>14069</v>
      </c>
      <c r="BE26" s="4">
        <f t="shared" si="21"/>
        <v>0.97714960411168217</v>
      </c>
      <c r="BF26" s="5">
        <v>27339</v>
      </c>
      <c r="BG26" s="13">
        <v>7953</v>
      </c>
      <c r="BH26" s="3">
        <f>BI26-BG26</f>
        <v>19161</v>
      </c>
      <c r="BI26" s="5">
        <v>27114</v>
      </c>
      <c r="BJ26" s="4">
        <f t="shared" si="23"/>
        <v>0.99176999890266648</v>
      </c>
    </row>
    <row r="27" spans="1:62" x14ac:dyDescent="0.3">
      <c r="A27" s="11">
        <v>18</v>
      </c>
      <c r="B27" s="2" t="s">
        <v>23</v>
      </c>
      <c r="C27" s="5">
        <v>120482</v>
      </c>
      <c r="D27" s="5">
        <v>46591</v>
      </c>
      <c r="E27" s="3">
        <f t="shared" si="0"/>
        <v>74083</v>
      </c>
      <c r="F27" s="5">
        <v>120674</v>
      </c>
      <c r="G27" s="4">
        <f t="shared" si="1"/>
        <v>1.0015935990438405</v>
      </c>
      <c r="H27" s="5">
        <v>123649</v>
      </c>
      <c r="I27" s="5">
        <v>47422</v>
      </c>
      <c r="J27" s="3">
        <f t="shared" si="2"/>
        <v>75104</v>
      </c>
      <c r="K27" s="5">
        <v>122526</v>
      </c>
      <c r="L27" s="4">
        <f t="shared" si="3"/>
        <v>0.99091784001488081</v>
      </c>
      <c r="M27" s="5">
        <v>182121</v>
      </c>
      <c r="N27" s="5">
        <v>66210</v>
      </c>
      <c r="O27" s="3">
        <f t="shared" si="4"/>
        <v>115131</v>
      </c>
      <c r="P27" s="5">
        <v>181341</v>
      </c>
      <c r="Q27" s="4">
        <f t="shared" si="5"/>
        <v>0.99571713311479726</v>
      </c>
      <c r="R27" s="5">
        <v>122848</v>
      </c>
      <c r="S27" s="5">
        <v>48325</v>
      </c>
      <c r="T27" s="3">
        <f t="shared" si="6"/>
        <v>73603</v>
      </c>
      <c r="U27" s="5">
        <v>121928</v>
      </c>
      <c r="V27" s="4">
        <f t="shared" si="7"/>
        <v>0.99251107059129984</v>
      </c>
      <c r="W27" s="5">
        <v>125846</v>
      </c>
      <c r="X27" s="5">
        <v>48383</v>
      </c>
      <c r="Y27" s="3">
        <f t="shared" si="8"/>
        <v>74897</v>
      </c>
      <c r="Z27" s="5">
        <v>123280</v>
      </c>
      <c r="AA27" s="4">
        <f t="shared" si="9"/>
        <v>0.9796099995232268</v>
      </c>
      <c r="AB27" s="5">
        <v>184102</v>
      </c>
      <c r="AC27" s="5">
        <v>69810</v>
      </c>
      <c r="AD27" s="3">
        <f t="shared" si="10"/>
        <v>113256</v>
      </c>
      <c r="AE27" s="5">
        <v>183066</v>
      </c>
      <c r="AF27" s="4">
        <f t="shared" si="11"/>
        <v>0.99437268470739049</v>
      </c>
      <c r="AG27" s="5">
        <v>124176</v>
      </c>
      <c r="AH27" s="13">
        <v>50263</v>
      </c>
      <c r="AI27" s="3">
        <f t="shared" si="12"/>
        <v>72821</v>
      </c>
      <c r="AJ27" s="5">
        <v>123084</v>
      </c>
      <c r="AK27" s="4">
        <f t="shared" si="13"/>
        <v>0.99120603015075381</v>
      </c>
      <c r="AL27" s="5">
        <v>126536</v>
      </c>
      <c r="AM27" s="13">
        <v>50064</v>
      </c>
      <c r="AN27" s="3">
        <f t="shared" ref="AN27:AN33" si="24">AO27-AM27</f>
        <v>73953</v>
      </c>
      <c r="AO27" s="5">
        <v>124017</v>
      </c>
      <c r="AP27" s="4">
        <f>AO27/AL27</f>
        <v>0.98009262186255297</v>
      </c>
      <c r="AQ27" s="5">
        <v>184835</v>
      </c>
      <c r="AR27" s="13">
        <v>69453</v>
      </c>
      <c r="AS27" s="3">
        <f t="shared" ref="AS27:AS33" si="25">AT27-AR27</f>
        <v>115098</v>
      </c>
      <c r="AT27" s="5">
        <v>184551</v>
      </c>
      <c r="AU27" s="4">
        <f>AT27/AQ27</f>
        <v>0.99846349446803906</v>
      </c>
      <c r="AV27" s="5">
        <v>124975</v>
      </c>
      <c r="AW27" s="13">
        <v>50585</v>
      </c>
      <c r="AX27" s="3">
        <f t="shared" ref="AX27:AX33" si="26">AY27-AW27</f>
        <v>73530</v>
      </c>
      <c r="AY27" s="5">
        <v>124115</v>
      </c>
      <c r="AZ27" s="4">
        <f>AY27/AV27</f>
        <v>0.99311862372474491</v>
      </c>
      <c r="BA27" s="5">
        <v>127493</v>
      </c>
      <c r="BB27" s="13">
        <v>51094</v>
      </c>
      <c r="BC27" s="3">
        <f t="shared" ref="BC27:BC33" si="27">BD27-BB27</f>
        <v>74139</v>
      </c>
      <c r="BD27" s="5">
        <v>125233</v>
      </c>
      <c r="BE27" s="4">
        <f>BD27/BA27</f>
        <v>0.98227353658632244</v>
      </c>
      <c r="BF27" s="5">
        <v>187636</v>
      </c>
      <c r="BG27" s="13">
        <v>64548</v>
      </c>
      <c r="BH27" s="3">
        <f t="shared" si="22"/>
        <v>121382</v>
      </c>
      <c r="BI27" s="5">
        <v>185930</v>
      </c>
      <c r="BJ27" s="4">
        <f>BI27/BF27</f>
        <v>0.99090792811613981</v>
      </c>
    </row>
    <row r="28" spans="1:62" x14ac:dyDescent="0.3">
      <c r="A28" s="11">
        <v>19</v>
      </c>
      <c r="B28" s="2" t="s">
        <v>24</v>
      </c>
      <c r="C28" s="5">
        <v>382208</v>
      </c>
      <c r="D28" s="5">
        <v>214873</v>
      </c>
      <c r="E28" s="3">
        <f t="shared" si="0"/>
        <v>164939</v>
      </c>
      <c r="F28" s="5">
        <v>379812</v>
      </c>
      <c r="G28" s="4">
        <f t="shared" si="1"/>
        <v>0.99373116208975221</v>
      </c>
      <c r="H28" s="5">
        <v>389922</v>
      </c>
      <c r="I28" s="5">
        <v>217609</v>
      </c>
      <c r="J28" s="3">
        <f t="shared" si="2"/>
        <v>167333</v>
      </c>
      <c r="K28" s="5">
        <v>384942</v>
      </c>
      <c r="L28" s="4">
        <f t="shared" si="3"/>
        <v>0.98722821487374401</v>
      </c>
      <c r="M28" s="5">
        <v>650891</v>
      </c>
      <c r="N28" s="5">
        <v>344704</v>
      </c>
      <c r="O28" s="3">
        <f t="shared" si="4"/>
        <v>302083</v>
      </c>
      <c r="P28" s="5">
        <v>646787</v>
      </c>
      <c r="Q28" s="4">
        <f t="shared" si="5"/>
        <v>0.99369479682466033</v>
      </c>
      <c r="R28" s="5">
        <v>389073</v>
      </c>
      <c r="S28" s="5">
        <v>217213</v>
      </c>
      <c r="T28" s="3">
        <f t="shared" si="6"/>
        <v>169087</v>
      </c>
      <c r="U28" s="5">
        <v>386300</v>
      </c>
      <c r="V28" s="4">
        <f t="shared" si="7"/>
        <v>0.99287280279022183</v>
      </c>
      <c r="W28" s="5">
        <v>397763</v>
      </c>
      <c r="X28" s="5">
        <v>220500</v>
      </c>
      <c r="Y28" s="3">
        <f t="shared" si="8"/>
        <v>171173</v>
      </c>
      <c r="Z28" s="5">
        <v>391673</v>
      </c>
      <c r="AA28" s="4">
        <f t="shared" si="9"/>
        <v>0.98468937533154166</v>
      </c>
      <c r="AB28" s="5">
        <v>660941</v>
      </c>
      <c r="AC28" s="5">
        <v>364638</v>
      </c>
      <c r="AD28" s="3">
        <f t="shared" si="10"/>
        <v>292743</v>
      </c>
      <c r="AE28" s="5">
        <v>657381</v>
      </c>
      <c r="AF28" s="4">
        <f t="shared" si="11"/>
        <v>0.99461374010690817</v>
      </c>
      <c r="AG28" s="5">
        <v>397417</v>
      </c>
      <c r="AH28" s="13">
        <v>231013</v>
      </c>
      <c r="AI28" s="3">
        <f t="shared" si="12"/>
        <v>163373</v>
      </c>
      <c r="AJ28" s="5">
        <v>394386</v>
      </c>
      <c r="AK28" s="4">
        <f t="shared" si="13"/>
        <v>0.99237325026357703</v>
      </c>
      <c r="AL28" s="5">
        <v>405895</v>
      </c>
      <c r="AM28" s="13">
        <v>230315</v>
      </c>
      <c r="AN28" s="3">
        <f t="shared" si="24"/>
        <v>168460</v>
      </c>
      <c r="AO28" s="5">
        <v>398775</v>
      </c>
      <c r="AP28" s="4">
        <f t="shared" ref="AP28:AP33" si="28">AO28/AL28</f>
        <v>0.98245851759691549</v>
      </c>
      <c r="AQ28" s="5">
        <v>670091</v>
      </c>
      <c r="AR28" s="13">
        <v>371128</v>
      </c>
      <c r="AS28" s="3">
        <f t="shared" si="25"/>
        <v>295868</v>
      </c>
      <c r="AT28" s="5">
        <v>666996</v>
      </c>
      <c r="AU28" s="4">
        <f t="shared" ref="AU28:AU33" si="29">AT28/AQ28</f>
        <v>0.9953812243411716</v>
      </c>
      <c r="AV28" s="5">
        <v>405395</v>
      </c>
      <c r="AW28" s="13">
        <v>235703</v>
      </c>
      <c r="AX28" s="3">
        <f t="shared" si="26"/>
        <v>166426</v>
      </c>
      <c r="AY28" s="5">
        <v>402129</v>
      </c>
      <c r="AZ28" s="4">
        <f t="shared" ref="AZ28:AZ33" si="30">AY28/AV28</f>
        <v>0.9919436598872704</v>
      </c>
      <c r="BA28" s="5">
        <v>412255</v>
      </c>
      <c r="BB28" s="13">
        <v>239006</v>
      </c>
      <c r="BC28" s="3">
        <f t="shared" si="27"/>
        <v>167658</v>
      </c>
      <c r="BD28" s="5">
        <v>406664</v>
      </c>
      <c r="BE28" s="4">
        <f t="shared" ref="BE28:BE33" si="31">BD28/BA28</f>
        <v>0.98643800560332806</v>
      </c>
      <c r="BF28" s="5">
        <v>680839</v>
      </c>
      <c r="BG28" s="13">
        <v>356688</v>
      </c>
      <c r="BH28" s="3">
        <f t="shared" si="22"/>
        <v>320589</v>
      </c>
      <c r="BI28" s="5">
        <v>677277</v>
      </c>
      <c r="BJ28" s="4">
        <f t="shared" si="23"/>
        <v>0.99476821979939456</v>
      </c>
    </row>
    <row r="29" spans="1:62" x14ac:dyDescent="0.3">
      <c r="A29" s="11">
        <v>20</v>
      </c>
      <c r="B29" s="2" t="s">
        <v>25</v>
      </c>
      <c r="C29" s="5">
        <v>127557</v>
      </c>
      <c r="D29" s="5">
        <v>60994</v>
      </c>
      <c r="E29" s="3">
        <f t="shared" si="0"/>
        <v>65981</v>
      </c>
      <c r="F29" s="5">
        <v>126975</v>
      </c>
      <c r="G29" s="4">
        <f t="shared" si="1"/>
        <v>0.99543733389778688</v>
      </c>
      <c r="H29" s="5">
        <v>129829</v>
      </c>
      <c r="I29" s="5">
        <v>61108</v>
      </c>
      <c r="J29" s="3">
        <f t="shared" si="2"/>
        <v>67247</v>
      </c>
      <c r="K29" s="5">
        <v>128355</v>
      </c>
      <c r="L29" s="4">
        <f t="shared" si="3"/>
        <v>0.98864660437960705</v>
      </c>
      <c r="M29" s="5">
        <v>176637</v>
      </c>
      <c r="N29" s="5">
        <v>80593</v>
      </c>
      <c r="O29" s="3">
        <f t="shared" si="4"/>
        <v>93959</v>
      </c>
      <c r="P29" s="5">
        <v>174552</v>
      </c>
      <c r="Q29" s="4">
        <f t="shared" si="5"/>
        <v>0.9881961310484213</v>
      </c>
      <c r="R29" s="5">
        <v>129740</v>
      </c>
      <c r="S29" s="5">
        <v>61440</v>
      </c>
      <c r="T29" s="3">
        <f t="shared" si="6"/>
        <v>67069</v>
      </c>
      <c r="U29" s="5">
        <v>128509</v>
      </c>
      <c r="V29" s="4">
        <f t="shared" si="7"/>
        <v>0.990511792816402</v>
      </c>
      <c r="W29" s="5">
        <v>131766</v>
      </c>
      <c r="X29" s="5">
        <v>62506</v>
      </c>
      <c r="Y29" s="3">
        <f t="shared" si="8"/>
        <v>67087</v>
      </c>
      <c r="Z29" s="5">
        <v>129593</v>
      </c>
      <c r="AA29" s="4">
        <f t="shared" si="9"/>
        <v>0.98350864411153105</v>
      </c>
      <c r="AB29" s="5">
        <v>178083</v>
      </c>
      <c r="AC29" s="5">
        <v>82781</v>
      </c>
      <c r="AD29" s="3">
        <f t="shared" si="10"/>
        <v>93861</v>
      </c>
      <c r="AE29" s="5">
        <v>176642</v>
      </c>
      <c r="AF29" s="4">
        <f t="shared" si="11"/>
        <v>0.99190826749324756</v>
      </c>
      <c r="AG29" s="5">
        <v>131984</v>
      </c>
      <c r="AH29" s="13">
        <v>62385</v>
      </c>
      <c r="AI29" s="3">
        <f t="shared" si="12"/>
        <v>68219</v>
      </c>
      <c r="AJ29" s="5">
        <v>130604</v>
      </c>
      <c r="AK29" s="4">
        <f t="shared" si="13"/>
        <v>0.98954418717420289</v>
      </c>
      <c r="AL29" s="5">
        <v>133676</v>
      </c>
      <c r="AM29" s="13">
        <v>63270</v>
      </c>
      <c r="AN29" s="3">
        <f t="shared" si="24"/>
        <v>68557</v>
      </c>
      <c r="AO29" s="5">
        <v>131827</v>
      </c>
      <c r="AP29" s="4">
        <f t="shared" si="28"/>
        <v>0.98616804811634096</v>
      </c>
      <c r="AQ29" s="5">
        <v>179800</v>
      </c>
      <c r="AR29" s="13">
        <v>85365</v>
      </c>
      <c r="AS29" s="3">
        <f t="shared" si="25"/>
        <v>93863</v>
      </c>
      <c r="AT29" s="5">
        <v>179228</v>
      </c>
      <c r="AU29" s="4">
        <f t="shared" si="29"/>
        <v>0.9968186874304783</v>
      </c>
      <c r="AV29" s="5">
        <v>134089</v>
      </c>
      <c r="AW29" s="13">
        <v>66132</v>
      </c>
      <c r="AX29" s="3">
        <f t="shared" si="26"/>
        <v>66876</v>
      </c>
      <c r="AY29" s="5">
        <v>133008</v>
      </c>
      <c r="AZ29" s="4">
        <f t="shared" si="30"/>
        <v>0.99193819030643826</v>
      </c>
      <c r="BA29" s="5">
        <v>136058</v>
      </c>
      <c r="BB29" s="13">
        <v>65827</v>
      </c>
      <c r="BC29" s="3">
        <f t="shared" si="27"/>
        <v>68578</v>
      </c>
      <c r="BD29" s="5">
        <v>134405</v>
      </c>
      <c r="BE29" s="4">
        <f t="shared" si="31"/>
        <v>0.98785076952476147</v>
      </c>
      <c r="BF29" s="5">
        <v>182623</v>
      </c>
      <c r="BG29" s="13">
        <v>81275</v>
      </c>
      <c r="BH29" s="3">
        <f t="shared" si="22"/>
        <v>100436</v>
      </c>
      <c r="BI29" s="5">
        <v>181711</v>
      </c>
      <c r="BJ29" s="4">
        <f t="shared" si="23"/>
        <v>0.99500610547411883</v>
      </c>
    </row>
    <row r="30" spans="1:62" x14ac:dyDescent="0.3">
      <c r="A30" s="11">
        <v>21</v>
      </c>
      <c r="B30" s="2" t="s">
        <v>26</v>
      </c>
      <c r="C30" s="5">
        <v>166894</v>
      </c>
      <c r="D30" s="5">
        <v>70584</v>
      </c>
      <c r="E30" s="3">
        <f t="shared" si="0"/>
        <v>95620</v>
      </c>
      <c r="F30" s="5">
        <v>166204</v>
      </c>
      <c r="G30" s="4">
        <f t="shared" si="1"/>
        <v>0.99586563926803839</v>
      </c>
      <c r="H30" s="5">
        <v>172134</v>
      </c>
      <c r="I30" s="5">
        <v>72351</v>
      </c>
      <c r="J30" s="3">
        <f t="shared" si="2"/>
        <v>97055</v>
      </c>
      <c r="K30" s="5">
        <v>169406</v>
      </c>
      <c r="L30" s="4">
        <f t="shared" si="3"/>
        <v>0.98415188167357992</v>
      </c>
      <c r="M30" s="5">
        <v>289249</v>
      </c>
      <c r="N30" s="5">
        <v>114031</v>
      </c>
      <c r="O30" s="3">
        <f t="shared" si="4"/>
        <v>172665</v>
      </c>
      <c r="P30" s="5">
        <v>286696</v>
      </c>
      <c r="Q30" s="4">
        <f t="shared" si="5"/>
        <v>0.99117369463680083</v>
      </c>
      <c r="R30" s="5">
        <v>169142</v>
      </c>
      <c r="S30" s="5">
        <v>71958</v>
      </c>
      <c r="T30" s="3">
        <f t="shared" si="6"/>
        <v>95664</v>
      </c>
      <c r="U30" s="5">
        <v>167622</v>
      </c>
      <c r="V30" s="4">
        <f t="shared" si="7"/>
        <v>0.9910134679736553</v>
      </c>
      <c r="W30" s="5">
        <v>174259</v>
      </c>
      <c r="X30" s="5">
        <v>75576</v>
      </c>
      <c r="Y30" s="3">
        <f t="shared" si="8"/>
        <v>95180</v>
      </c>
      <c r="Z30" s="5">
        <v>170756</v>
      </c>
      <c r="AA30" s="4">
        <f t="shared" si="9"/>
        <v>0.97989773842384043</v>
      </c>
      <c r="AB30" s="5">
        <v>293307</v>
      </c>
      <c r="AC30" s="5">
        <v>117925</v>
      </c>
      <c r="AD30" s="3">
        <f t="shared" si="10"/>
        <v>173160</v>
      </c>
      <c r="AE30" s="5">
        <v>291085</v>
      </c>
      <c r="AF30" s="4">
        <f t="shared" si="11"/>
        <v>0.99242431991053748</v>
      </c>
      <c r="AG30" s="5">
        <v>172053</v>
      </c>
      <c r="AH30" s="13">
        <v>76028</v>
      </c>
      <c r="AI30" s="3">
        <f t="shared" si="12"/>
        <v>94717</v>
      </c>
      <c r="AJ30" s="5">
        <v>170745</v>
      </c>
      <c r="AK30" s="4">
        <f t="shared" si="13"/>
        <v>0.99239769140904255</v>
      </c>
      <c r="AL30" s="5">
        <v>176835</v>
      </c>
      <c r="AM30" s="13">
        <v>76948</v>
      </c>
      <c r="AN30" s="3">
        <f t="shared" si="24"/>
        <v>96516</v>
      </c>
      <c r="AO30" s="5">
        <v>173464</v>
      </c>
      <c r="AP30" s="4">
        <f t="shared" si="28"/>
        <v>0.98093703169621393</v>
      </c>
      <c r="AQ30" s="5">
        <v>297651</v>
      </c>
      <c r="AR30" s="13">
        <v>121216</v>
      </c>
      <c r="AS30" s="3">
        <f t="shared" si="25"/>
        <v>175491</v>
      </c>
      <c r="AT30" s="5">
        <v>296707</v>
      </c>
      <c r="AU30" s="4">
        <f t="shared" si="29"/>
        <v>0.99682850049218719</v>
      </c>
      <c r="AV30" s="5">
        <v>175428</v>
      </c>
      <c r="AW30" s="13">
        <v>77235</v>
      </c>
      <c r="AX30" s="3">
        <f t="shared" si="26"/>
        <v>96784</v>
      </c>
      <c r="AY30" s="5">
        <v>174019</v>
      </c>
      <c r="AZ30" s="4">
        <f t="shared" si="30"/>
        <v>0.99196821488017872</v>
      </c>
      <c r="BA30" s="5">
        <v>179593</v>
      </c>
      <c r="BB30" s="13">
        <v>77262</v>
      </c>
      <c r="BC30" s="3">
        <f t="shared" si="27"/>
        <v>98731</v>
      </c>
      <c r="BD30" s="5">
        <v>175993</v>
      </c>
      <c r="BE30" s="4">
        <f t="shared" si="31"/>
        <v>0.97995467529358049</v>
      </c>
      <c r="BF30" s="5">
        <v>302258</v>
      </c>
      <c r="BG30" s="13">
        <v>115033</v>
      </c>
      <c r="BH30" s="3">
        <f t="shared" si="22"/>
        <v>184949</v>
      </c>
      <c r="BI30" s="5">
        <v>299982</v>
      </c>
      <c r="BJ30" s="4">
        <f t="shared" si="23"/>
        <v>0.9924700090651033</v>
      </c>
    </row>
    <row r="31" spans="1:62" x14ac:dyDescent="0.3">
      <c r="A31" s="11">
        <v>22</v>
      </c>
      <c r="B31" s="2" t="s">
        <v>43</v>
      </c>
      <c r="C31" s="5">
        <v>74510</v>
      </c>
      <c r="D31" s="5">
        <v>38780</v>
      </c>
      <c r="E31" s="3">
        <f t="shared" si="0"/>
        <v>35545</v>
      </c>
      <c r="F31" s="5">
        <v>74325</v>
      </c>
      <c r="G31" s="4">
        <f t="shared" si="1"/>
        <v>0.99751711179707425</v>
      </c>
      <c r="H31" s="5">
        <v>76671</v>
      </c>
      <c r="I31" s="5">
        <v>40184</v>
      </c>
      <c r="J31" s="3">
        <f t="shared" si="2"/>
        <v>35320</v>
      </c>
      <c r="K31" s="5">
        <v>75504</v>
      </c>
      <c r="L31" s="4">
        <f t="shared" si="3"/>
        <v>0.98477912118010724</v>
      </c>
      <c r="M31" s="5">
        <v>133745</v>
      </c>
      <c r="N31" s="5">
        <v>63834</v>
      </c>
      <c r="O31" s="3">
        <f t="shared" si="4"/>
        <v>69992</v>
      </c>
      <c r="P31" s="5">
        <v>133826</v>
      </c>
      <c r="Q31" s="4">
        <f t="shared" si="5"/>
        <v>1.0006056301170136</v>
      </c>
      <c r="R31" s="5">
        <v>74974</v>
      </c>
      <c r="S31" s="5">
        <v>40619</v>
      </c>
      <c r="T31" s="3">
        <f t="shared" si="6"/>
        <v>34150</v>
      </c>
      <c r="U31" s="5">
        <v>74769</v>
      </c>
      <c r="V31" s="4">
        <f t="shared" si="7"/>
        <v>0.99726571878251125</v>
      </c>
      <c r="W31" s="5">
        <v>77586</v>
      </c>
      <c r="X31" s="5">
        <v>41258</v>
      </c>
      <c r="Y31" s="3">
        <f t="shared" si="8"/>
        <v>34626</v>
      </c>
      <c r="Z31" s="5">
        <v>75884</v>
      </c>
      <c r="AA31" s="4">
        <f t="shared" si="9"/>
        <v>0.97806305261258475</v>
      </c>
      <c r="AB31" s="5">
        <v>135116</v>
      </c>
      <c r="AC31" s="5">
        <v>65113</v>
      </c>
      <c r="AD31" s="3">
        <f t="shared" si="10"/>
        <v>70291</v>
      </c>
      <c r="AE31" s="5">
        <v>135404</v>
      </c>
      <c r="AF31" s="4">
        <f t="shared" si="11"/>
        <v>1.0021315018206578</v>
      </c>
      <c r="AG31" s="5">
        <v>76230</v>
      </c>
      <c r="AH31" s="13">
        <v>42365</v>
      </c>
      <c r="AI31" s="3">
        <f t="shared" si="12"/>
        <v>33290</v>
      </c>
      <c r="AJ31" s="5">
        <v>75655</v>
      </c>
      <c r="AK31" s="4">
        <f t="shared" si="13"/>
        <v>0.99245703791158335</v>
      </c>
      <c r="AL31" s="5">
        <v>77611</v>
      </c>
      <c r="AM31" s="13">
        <v>43322</v>
      </c>
      <c r="AN31" s="3">
        <f t="shared" si="24"/>
        <v>33371</v>
      </c>
      <c r="AO31" s="5">
        <v>76693</v>
      </c>
      <c r="AP31" s="4">
        <f t="shared" si="28"/>
        <v>0.98817177977348569</v>
      </c>
      <c r="AQ31" s="5">
        <v>136879</v>
      </c>
      <c r="AR31" s="13">
        <v>68362</v>
      </c>
      <c r="AS31" s="3">
        <f t="shared" si="25"/>
        <v>69285</v>
      </c>
      <c r="AT31" s="5">
        <v>137647</v>
      </c>
      <c r="AU31" s="4">
        <f t="shared" si="29"/>
        <v>1.0056107949356732</v>
      </c>
      <c r="AV31" s="5">
        <v>76719</v>
      </c>
      <c r="AW31" s="13">
        <v>43563</v>
      </c>
      <c r="AX31" s="3">
        <f t="shared" si="26"/>
        <v>33112</v>
      </c>
      <c r="AY31" s="5">
        <v>76675</v>
      </c>
      <c r="AZ31" s="4">
        <f t="shared" si="30"/>
        <v>0.99942647844732069</v>
      </c>
      <c r="BA31" s="5">
        <v>78720</v>
      </c>
      <c r="BB31" s="13">
        <v>44413</v>
      </c>
      <c r="BC31" s="3">
        <f t="shared" si="27"/>
        <v>33769</v>
      </c>
      <c r="BD31" s="5">
        <v>78182</v>
      </c>
      <c r="BE31" s="4">
        <f t="shared" si="31"/>
        <v>0.99316565040650406</v>
      </c>
      <c r="BF31" s="5">
        <v>140181</v>
      </c>
      <c r="BG31" s="13">
        <v>64233</v>
      </c>
      <c r="BH31" s="3">
        <f t="shared" si="22"/>
        <v>76209</v>
      </c>
      <c r="BI31" s="5">
        <v>140442</v>
      </c>
      <c r="BJ31" s="4">
        <f t="shared" si="23"/>
        <v>1.0018618785712756</v>
      </c>
    </row>
    <row r="32" spans="1:62" x14ac:dyDescent="0.3">
      <c r="A32" s="11">
        <v>23</v>
      </c>
      <c r="B32" s="2" t="s">
        <v>27</v>
      </c>
      <c r="C32" s="5">
        <v>203718</v>
      </c>
      <c r="D32" s="5">
        <v>109052</v>
      </c>
      <c r="E32" s="3">
        <f t="shared" si="0"/>
        <v>93773</v>
      </c>
      <c r="F32" s="5">
        <v>202825</v>
      </c>
      <c r="G32" s="4">
        <f t="shared" si="1"/>
        <v>0.99561648946092152</v>
      </c>
      <c r="H32" s="5">
        <v>210874</v>
      </c>
      <c r="I32" s="5">
        <v>112569</v>
      </c>
      <c r="J32" s="3">
        <f t="shared" si="2"/>
        <v>94701</v>
      </c>
      <c r="K32" s="5">
        <v>207270</v>
      </c>
      <c r="L32" s="4">
        <f t="shared" si="3"/>
        <v>0.98290922541422843</v>
      </c>
      <c r="M32" s="5">
        <v>441035</v>
      </c>
      <c r="N32" s="5">
        <v>205434</v>
      </c>
      <c r="O32" s="3">
        <f t="shared" si="4"/>
        <v>233954</v>
      </c>
      <c r="P32" s="5">
        <v>439388</v>
      </c>
      <c r="Q32" s="4">
        <f t="shared" si="5"/>
        <v>0.99626560250320273</v>
      </c>
      <c r="R32" s="5">
        <v>206418</v>
      </c>
      <c r="S32" s="5">
        <v>112076</v>
      </c>
      <c r="T32" s="3">
        <f t="shared" si="6"/>
        <v>92277</v>
      </c>
      <c r="U32" s="5">
        <v>204353</v>
      </c>
      <c r="V32" s="4">
        <f t="shared" si="7"/>
        <v>0.98999602747822379</v>
      </c>
      <c r="W32" s="5">
        <v>212709</v>
      </c>
      <c r="X32" s="5">
        <v>112869</v>
      </c>
      <c r="Y32" s="3">
        <f t="shared" si="8"/>
        <v>95903</v>
      </c>
      <c r="Z32" s="5">
        <v>208772</v>
      </c>
      <c r="AA32" s="4">
        <f t="shared" si="9"/>
        <v>0.98149114517956459</v>
      </c>
      <c r="AB32" s="5">
        <v>446806</v>
      </c>
      <c r="AC32" s="5">
        <v>208028</v>
      </c>
      <c r="AD32" s="3">
        <f t="shared" si="10"/>
        <v>237787</v>
      </c>
      <c r="AE32" s="5">
        <v>445815</v>
      </c>
      <c r="AF32" s="4">
        <f t="shared" si="11"/>
        <v>0.99778203515619757</v>
      </c>
      <c r="AG32" s="5">
        <v>210129</v>
      </c>
      <c r="AH32" s="13">
        <v>116226</v>
      </c>
      <c r="AI32" s="3">
        <f t="shared" si="12"/>
        <v>92524</v>
      </c>
      <c r="AJ32" s="5">
        <v>208750</v>
      </c>
      <c r="AK32" s="4">
        <f t="shared" si="13"/>
        <v>0.99343736466646682</v>
      </c>
      <c r="AL32" s="5">
        <v>217332</v>
      </c>
      <c r="AM32" s="13">
        <v>119335</v>
      </c>
      <c r="AN32" s="3">
        <f t="shared" si="24"/>
        <v>93021</v>
      </c>
      <c r="AO32" s="5">
        <v>212356</v>
      </c>
      <c r="AP32" s="4">
        <f t="shared" si="28"/>
        <v>0.97710415401321482</v>
      </c>
      <c r="AQ32" s="5">
        <v>453805</v>
      </c>
      <c r="AR32" s="13">
        <v>224114</v>
      </c>
      <c r="AS32" s="3">
        <f t="shared" si="25"/>
        <v>229456</v>
      </c>
      <c r="AT32" s="5">
        <v>453570</v>
      </c>
      <c r="AU32" s="4">
        <f t="shared" si="29"/>
        <v>0.99948215643282912</v>
      </c>
      <c r="AV32" s="5">
        <v>213428</v>
      </c>
      <c r="AW32" s="13">
        <v>121027</v>
      </c>
      <c r="AX32" s="3">
        <f t="shared" si="26"/>
        <v>91529</v>
      </c>
      <c r="AY32" s="5">
        <v>212556</v>
      </c>
      <c r="AZ32" s="4">
        <f t="shared" si="30"/>
        <v>0.99591431302359579</v>
      </c>
      <c r="BA32" s="5">
        <v>220509</v>
      </c>
      <c r="BB32" s="13">
        <v>122730</v>
      </c>
      <c r="BC32" s="3">
        <f t="shared" si="27"/>
        <v>94344</v>
      </c>
      <c r="BD32" s="5">
        <v>217074</v>
      </c>
      <c r="BE32" s="4">
        <f t="shared" si="31"/>
        <v>0.98442240452770635</v>
      </c>
      <c r="BF32" s="5">
        <v>463937</v>
      </c>
      <c r="BG32" s="13">
        <v>207974</v>
      </c>
      <c r="BH32" s="3">
        <f t="shared" si="22"/>
        <v>253852</v>
      </c>
      <c r="BI32" s="5">
        <v>461826</v>
      </c>
      <c r="BJ32" s="4">
        <f t="shared" si="23"/>
        <v>0.99544981322895132</v>
      </c>
    </row>
    <row r="33" spans="1:62" x14ac:dyDescent="0.3">
      <c r="A33" s="11">
        <v>24</v>
      </c>
      <c r="B33" s="2" t="s">
        <v>44</v>
      </c>
      <c r="C33" s="5">
        <v>620995</v>
      </c>
      <c r="D33" s="5">
        <v>524259</v>
      </c>
      <c r="E33" s="3">
        <f t="shared" si="0"/>
        <v>96252</v>
      </c>
      <c r="F33" s="5">
        <v>620511</v>
      </c>
      <c r="G33" s="4">
        <f t="shared" si="1"/>
        <v>0.99922060564094717</v>
      </c>
      <c r="H33" s="5">
        <v>630476</v>
      </c>
      <c r="I33" s="5">
        <v>529857</v>
      </c>
      <c r="J33" s="3">
        <f t="shared" si="2"/>
        <v>98464</v>
      </c>
      <c r="K33" s="5">
        <v>628321</v>
      </c>
      <c r="L33" s="4">
        <f t="shared" si="3"/>
        <v>0.99658194760783914</v>
      </c>
      <c r="M33" s="5">
        <v>1032030</v>
      </c>
      <c r="N33" s="5">
        <v>849700</v>
      </c>
      <c r="O33" s="3">
        <f t="shared" si="4"/>
        <v>184024</v>
      </c>
      <c r="P33" s="5">
        <v>1033724</v>
      </c>
      <c r="Q33" s="4">
        <f t="shared" si="5"/>
        <v>1.0016414251523695</v>
      </c>
      <c r="R33" s="5">
        <v>629419</v>
      </c>
      <c r="S33" s="5">
        <v>530726</v>
      </c>
      <c r="T33" s="3">
        <f t="shared" si="6"/>
        <v>97154</v>
      </c>
      <c r="U33" s="5">
        <v>627880</v>
      </c>
      <c r="V33" s="4">
        <f t="shared" si="7"/>
        <v>0.99755488792044722</v>
      </c>
      <c r="W33" s="5">
        <v>637378</v>
      </c>
      <c r="X33" s="5">
        <v>532860</v>
      </c>
      <c r="Y33" s="3">
        <f t="shared" si="8"/>
        <v>101377</v>
      </c>
      <c r="Z33" s="5">
        <v>634237</v>
      </c>
      <c r="AA33" s="4">
        <f t="shared" si="9"/>
        <v>0.99507199809218394</v>
      </c>
      <c r="AB33" s="5">
        <v>1041984</v>
      </c>
      <c r="AC33" s="5">
        <v>859179</v>
      </c>
      <c r="AD33" s="3">
        <f t="shared" si="10"/>
        <v>184374</v>
      </c>
      <c r="AE33" s="5">
        <v>1043553</v>
      </c>
      <c r="AF33" s="4">
        <f t="shared" si="11"/>
        <v>1.0015057812787913</v>
      </c>
      <c r="AG33" s="5">
        <v>638215</v>
      </c>
      <c r="AH33" s="13">
        <v>559039</v>
      </c>
      <c r="AI33" s="3">
        <f t="shared" si="12"/>
        <v>77993</v>
      </c>
      <c r="AJ33" s="5">
        <v>637032</v>
      </c>
      <c r="AK33" s="4">
        <f t="shared" si="13"/>
        <v>0.9981463926733154</v>
      </c>
      <c r="AL33" s="5">
        <v>645318</v>
      </c>
      <c r="AM33" s="13">
        <v>546905</v>
      </c>
      <c r="AN33" s="3">
        <f t="shared" si="24"/>
        <v>94770</v>
      </c>
      <c r="AO33" s="5">
        <v>641675</v>
      </c>
      <c r="AP33" s="4">
        <f t="shared" si="28"/>
        <v>0.99435472123821123</v>
      </c>
      <c r="AQ33" s="5">
        <v>1053133</v>
      </c>
      <c r="AR33" s="13">
        <v>887456</v>
      </c>
      <c r="AS33" s="3">
        <f t="shared" si="25"/>
        <v>167681</v>
      </c>
      <c r="AT33" s="5">
        <v>1055137</v>
      </c>
      <c r="AU33" s="4">
        <f t="shared" si="29"/>
        <v>1.0019028935566543</v>
      </c>
      <c r="AV33" s="5">
        <v>647979</v>
      </c>
      <c r="AW33" s="13">
        <v>558703</v>
      </c>
      <c r="AX33" s="3">
        <f t="shared" si="26"/>
        <v>89155</v>
      </c>
      <c r="AY33" s="5">
        <v>647858</v>
      </c>
      <c r="AZ33" s="4">
        <f t="shared" si="30"/>
        <v>0.99981326555335903</v>
      </c>
      <c r="BA33" s="5">
        <v>657743</v>
      </c>
      <c r="BB33" s="13">
        <v>567605</v>
      </c>
      <c r="BC33" s="3">
        <f t="shared" si="27"/>
        <v>89553</v>
      </c>
      <c r="BD33" s="5">
        <v>657158</v>
      </c>
      <c r="BE33" s="4">
        <f t="shared" si="31"/>
        <v>0.99911059486760023</v>
      </c>
      <c r="BF33" s="5">
        <v>1071541</v>
      </c>
      <c r="BG33" s="13">
        <v>882796</v>
      </c>
      <c r="BH33" s="3">
        <f t="shared" si="22"/>
        <v>189733</v>
      </c>
      <c r="BI33" s="5">
        <v>1072529</v>
      </c>
      <c r="BJ33" s="4">
        <f t="shared" si="23"/>
        <v>1.0009220365809615</v>
      </c>
    </row>
    <row r="34" spans="1:62" x14ac:dyDescent="0.3">
      <c r="A34" s="11">
        <v>25</v>
      </c>
      <c r="B34" s="2" t="s">
        <v>28</v>
      </c>
      <c r="C34" s="5">
        <v>0</v>
      </c>
      <c r="D34" s="5">
        <v>0</v>
      </c>
      <c r="E34" s="5" t="s">
        <v>41</v>
      </c>
      <c r="F34" s="5">
        <v>0</v>
      </c>
      <c r="G34" s="5" t="s">
        <v>41</v>
      </c>
      <c r="H34" s="5">
        <v>0</v>
      </c>
      <c r="I34" s="5">
        <v>0</v>
      </c>
      <c r="J34" s="5" t="s">
        <v>41</v>
      </c>
      <c r="K34" s="5">
        <v>0</v>
      </c>
      <c r="L34" s="5" t="s">
        <v>41</v>
      </c>
      <c r="M34" s="5">
        <v>0</v>
      </c>
      <c r="N34" s="5">
        <v>0</v>
      </c>
      <c r="O34" s="5" t="s">
        <v>41</v>
      </c>
      <c r="P34" s="5">
        <v>0</v>
      </c>
      <c r="Q34" s="5" t="s">
        <v>41</v>
      </c>
      <c r="R34" s="5">
        <v>0</v>
      </c>
      <c r="S34" s="5">
        <v>0</v>
      </c>
      <c r="T34" s="5" t="s">
        <v>41</v>
      </c>
      <c r="U34" s="5">
        <v>0</v>
      </c>
      <c r="V34" s="5" t="s">
        <v>41</v>
      </c>
      <c r="W34" s="5">
        <v>0</v>
      </c>
      <c r="X34" s="5">
        <v>0</v>
      </c>
      <c r="Y34" s="5" t="s">
        <v>41</v>
      </c>
      <c r="Z34" s="5">
        <v>0</v>
      </c>
      <c r="AA34" s="5" t="s">
        <v>41</v>
      </c>
      <c r="AB34" s="5">
        <v>0</v>
      </c>
      <c r="AC34" s="5">
        <v>0</v>
      </c>
      <c r="AD34" s="5" t="s">
        <v>41</v>
      </c>
      <c r="AE34" s="5">
        <v>0</v>
      </c>
      <c r="AF34" s="5" t="s">
        <v>41</v>
      </c>
      <c r="AG34" s="5">
        <v>0</v>
      </c>
      <c r="AH34" s="13">
        <v>0</v>
      </c>
      <c r="AI34" s="5" t="s">
        <v>41</v>
      </c>
      <c r="AJ34" s="5">
        <v>0</v>
      </c>
      <c r="AK34" s="5" t="s">
        <v>41</v>
      </c>
      <c r="AL34" s="5">
        <v>0</v>
      </c>
      <c r="AM34" s="13">
        <v>0</v>
      </c>
      <c r="AN34" s="5" t="s">
        <v>41</v>
      </c>
      <c r="AO34" s="5">
        <v>1</v>
      </c>
      <c r="AP34" s="5" t="s">
        <v>41</v>
      </c>
      <c r="AQ34" s="5">
        <v>1</v>
      </c>
      <c r="AR34" s="13">
        <v>1</v>
      </c>
      <c r="AS34" s="5" t="s">
        <v>41</v>
      </c>
      <c r="AT34" s="5">
        <v>1</v>
      </c>
      <c r="AU34" s="5" t="s">
        <v>41</v>
      </c>
      <c r="AV34" s="5">
        <v>1</v>
      </c>
      <c r="AW34" s="13">
        <v>0</v>
      </c>
      <c r="AX34" s="5" t="s">
        <v>41</v>
      </c>
      <c r="AY34" s="5">
        <v>0</v>
      </c>
      <c r="AZ34" s="5" t="s">
        <v>41</v>
      </c>
      <c r="BA34" s="5">
        <v>1</v>
      </c>
      <c r="BB34" s="13">
        <v>0</v>
      </c>
      <c r="BC34" s="5" t="s">
        <v>41</v>
      </c>
      <c r="BD34" s="5">
        <v>0</v>
      </c>
      <c r="BE34" s="5" t="s">
        <v>41</v>
      </c>
      <c r="BF34" s="5">
        <v>1</v>
      </c>
      <c r="BG34" s="13">
        <v>0</v>
      </c>
      <c r="BH34" s="5" t="s">
        <v>41</v>
      </c>
      <c r="BI34" s="5">
        <v>0</v>
      </c>
      <c r="BJ34" s="5" t="s">
        <v>41</v>
      </c>
    </row>
    <row r="35" spans="1:62" x14ac:dyDescent="0.3">
      <c r="A35" s="11">
        <v>26</v>
      </c>
      <c r="B35" s="2" t="s">
        <v>29</v>
      </c>
      <c r="C35" s="5">
        <v>11569</v>
      </c>
      <c r="D35" s="5">
        <v>9220</v>
      </c>
      <c r="E35" s="3">
        <f t="shared" si="0"/>
        <v>2346</v>
      </c>
      <c r="F35" s="5">
        <v>11566</v>
      </c>
      <c r="G35" s="4">
        <f t="shared" si="1"/>
        <v>0.99974068631688129</v>
      </c>
      <c r="H35" s="5">
        <v>11660</v>
      </c>
      <c r="I35" s="5">
        <v>9218</v>
      </c>
      <c r="J35" s="3">
        <f t="shared" ref="J35:J47" si="32">K35-I35</f>
        <v>2388</v>
      </c>
      <c r="K35" s="5">
        <v>11606</v>
      </c>
      <c r="L35" s="4">
        <f t="shared" ref="L35:L47" si="33">K35/H35</f>
        <v>0.99536878216123503</v>
      </c>
      <c r="M35" s="5">
        <v>14448</v>
      </c>
      <c r="N35" s="5">
        <v>11289</v>
      </c>
      <c r="O35" s="3">
        <f t="shared" ref="O35:O47" si="34">P35-N35</f>
        <v>3148</v>
      </c>
      <c r="P35" s="5">
        <v>14437</v>
      </c>
      <c r="Q35" s="4">
        <f t="shared" ref="Q35:Q47" si="35">P35/M35</f>
        <v>0.99923864894795122</v>
      </c>
      <c r="R35" s="5">
        <v>11629</v>
      </c>
      <c r="S35" s="5">
        <v>9171</v>
      </c>
      <c r="T35" s="3">
        <f t="shared" ref="T35:T47" si="36">U35-S35</f>
        <v>2437</v>
      </c>
      <c r="U35" s="5">
        <v>11608</v>
      </c>
      <c r="V35" s="4">
        <f t="shared" ref="V35:V47" si="37">U35/R35</f>
        <v>0.99819416974804365</v>
      </c>
      <c r="W35" s="5">
        <v>11769</v>
      </c>
      <c r="X35" s="5">
        <v>9272</v>
      </c>
      <c r="Y35" s="3">
        <f t="shared" ref="Y35:Y47" si="38">Z35-X35</f>
        <v>2386</v>
      </c>
      <c r="Z35" s="5">
        <v>11658</v>
      </c>
      <c r="AA35" s="4">
        <f t="shared" ref="AA35:AA47" si="39">Z35/W35</f>
        <v>0.99056844251848075</v>
      </c>
      <c r="AB35" s="5">
        <v>14510</v>
      </c>
      <c r="AC35" s="5">
        <v>11392</v>
      </c>
      <c r="AD35" s="3">
        <f t="shared" ref="AD35:AD47" si="40">AE35-AC35</f>
        <v>3109</v>
      </c>
      <c r="AE35" s="5">
        <v>14501</v>
      </c>
      <c r="AF35" s="4">
        <f t="shared" ref="AF35:AF47" si="41">AE35/AB35</f>
        <v>0.99937973811164715</v>
      </c>
      <c r="AG35" s="5">
        <v>11749</v>
      </c>
      <c r="AH35" s="13">
        <v>9582</v>
      </c>
      <c r="AI35" s="3">
        <f t="shared" ref="AI35:AI47" si="42">AJ35-AH35</f>
        <v>2149</v>
      </c>
      <c r="AJ35" s="5">
        <v>11731</v>
      </c>
      <c r="AK35" s="4">
        <f t="shared" ref="AK35:AK47" si="43">AJ35/AG35</f>
        <v>0.99846795471955063</v>
      </c>
      <c r="AL35" s="5">
        <v>11839</v>
      </c>
      <c r="AM35" s="13">
        <v>9446</v>
      </c>
      <c r="AN35" s="3">
        <f t="shared" ref="AN35:AN47" si="44">AO35-AM35</f>
        <v>2324</v>
      </c>
      <c r="AO35" s="5">
        <v>11770</v>
      </c>
      <c r="AP35" s="4">
        <f t="shared" ref="AP35:AP47" si="45">AO35/AL35</f>
        <v>0.99417180505110225</v>
      </c>
      <c r="AQ35" s="5">
        <v>14639</v>
      </c>
      <c r="AR35" s="13">
        <v>11773</v>
      </c>
      <c r="AS35" s="3">
        <f t="shared" ref="AS35:AS47" si="46">AT35-AR35</f>
        <v>2840</v>
      </c>
      <c r="AT35" s="5">
        <v>14613</v>
      </c>
      <c r="AU35" s="4">
        <f t="shared" ref="AU35:AU47" si="47">AT35/AQ35</f>
        <v>0.99822392239907098</v>
      </c>
      <c r="AV35" s="5">
        <v>11843</v>
      </c>
      <c r="AW35" s="13">
        <v>9656</v>
      </c>
      <c r="AX35" s="3">
        <f t="shared" ref="AX35:AX47" si="48">AY35-AW35</f>
        <v>2165</v>
      </c>
      <c r="AY35" s="5">
        <v>11821</v>
      </c>
      <c r="AZ35" s="4">
        <f t="shared" ref="AZ35:AZ47" si="49">AY35/AV35</f>
        <v>0.99814236257704969</v>
      </c>
      <c r="BA35" s="5">
        <v>11921</v>
      </c>
      <c r="BB35" s="13">
        <v>9716</v>
      </c>
      <c r="BC35" s="3">
        <f t="shared" ref="BC35:BC47" si="50">BD35-BB35</f>
        <v>2148</v>
      </c>
      <c r="BD35" s="5">
        <v>11864</v>
      </c>
      <c r="BE35" s="4">
        <f t="shared" ref="BE35:BE47" si="51">BD35/BA35</f>
        <v>0.99521852193607918</v>
      </c>
      <c r="BF35" s="5">
        <v>14735</v>
      </c>
      <c r="BG35" s="13">
        <v>11835</v>
      </c>
      <c r="BH35" s="3">
        <f t="shared" ref="BH35:BH47" si="52">BI35-BG35</f>
        <v>2885</v>
      </c>
      <c r="BI35" s="5">
        <v>14720</v>
      </c>
      <c r="BJ35" s="4">
        <f t="shared" ref="BJ35:BJ47" si="53">BI35/BF35</f>
        <v>0.99898201560909394</v>
      </c>
    </row>
    <row r="36" spans="1:62" x14ac:dyDescent="0.3">
      <c r="A36" s="11">
        <v>27</v>
      </c>
      <c r="B36" s="2" t="s">
        <v>45</v>
      </c>
      <c r="C36" s="5">
        <v>836037</v>
      </c>
      <c r="D36" s="5">
        <v>579199</v>
      </c>
      <c r="E36" s="3">
        <f t="shared" si="0"/>
        <v>253944</v>
      </c>
      <c r="F36" s="5">
        <v>833143</v>
      </c>
      <c r="G36" s="4">
        <f t="shared" si="1"/>
        <v>0.99653843071538695</v>
      </c>
      <c r="H36" s="5">
        <v>854298</v>
      </c>
      <c r="I36" s="5">
        <v>582090</v>
      </c>
      <c r="J36" s="3">
        <f t="shared" si="32"/>
        <v>261210</v>
      </c>
      <c r="K36" s="5">
        <v>843300</v>
      </c>
      <c r="L36" s="4">
        <f t="shared" si="33"/>
        <v>0.98712627209709025</v>
      </c>
      <c r="M36" s="5">
        <v>1510524</v>
      </c>
      <c r="N36" s="5">
        <v>1014391</v>
      </c>
      <c r="O36" s="3">
        <f t="shared" si="34"/>
        <v>489755</v>
      </c>
      <c r="P36" s="5">
        <v>1504146</v>
      </c>
      <c r="Q36" s="4">
        <f t="shared" si="35"/>
        <v>0.99577762418869209</v>
      </c>
      <c r="R36" s="5">
        <v>845008</v>
      </c>
      <c r="S36" s="5">
        <v>590966</v>
      </c>
      <c r="T36" s="3">
        <f t="shared" si="36"/>
        <v>248758</v>
      </c>
      <c r="U36" s="5">
        <v>839724</v>
      </c>
      <c r="V36" s="4">
        <f t="shared" si="37"/>
        <v>0.99374680476397859</v>
      </c>
      <c r="W36" s="5">
        <v>865288</v>
      </c>
      <c r="X36" s="5">
        <v>598085</v>
      </c>
      <c r="Y36" s="3">
        <f t="shared" si="38"/>
        <v>251312</v>
      </c>
      <c r="Z36" s="5">
        <v>849397</v>
      </c>
      <c r="AA36" s="4">
        <f t="shared" si="39"/>
        <v>0.98163501631826633</v>
      </c>
      <c r="AB36" s="5">
        <v>1522408</v>
      </c>
      <c r="AC36" s="5">
        <v>1031970</v>
      </c>
      <c r="AD36" s="3">
        <f t="shared" si="40"/>
        <v>485853</v>
      </c>
      <c r="AE36" s="5">
        <v>1517823</v>
      </c>
      <c r="AF36" s="4">
        <f t="shared" si="41"/>
        <v>0.99698832376077895</v>
      </c>
      <c r="AG36" s="5">
        <v>860909</v>
      </c>
      <c r="AH36" s="13">
        <v>622893</v>
      </c>
      <c r="AI36" s="3">
        <f t="shared" si="42"/>
        <v>232836</v>
      </c>
      <c r="AJ36" s="5">
        <v>855729</v>
      </c>
      <c r="AK36" s="4">
        <f t="shared" si="43"/>
        <v>0.99398310390529077</v>
      </c>
      <c r="AL36" s="5">
        <v>879793</v>
      </c>
      <c r="AM36" s="13">
        <v>627740</v>
      </c>
      <c r="AN36" s="3">
        <f t="shared" si="44"/>
        <v>238469</v>
      </c>
      <c r="AO36" s="5">
        <v>866209</v>
      </c>
      <c r="AP36" s="4">
        <f t="shared" si="45"/>
        <v>0.98456000445559355</v>
      </c>
      <c r="AQ36" s="5">
        <v>1539776</v>
      </c>
      <c r="AR36" s="13">
        <v>1080776</v>
      </c>
      <c r="AS36" s="3">
        <f t="shared" si="46"/>
        <v>458530</v>
      </c>
      <c r="AT36" s="5">
        <v>1539306</v>
      </c>
      <c r="AU36" s="4">
        <f t="shared" si="47"/>
        <v>0.99969476079637554</v>
      </c>
      <c r="AV36" s="5">
        <v>875330</v>
      </c>
      <c r="AW36" s="13">
        <v>638151</v>
      </c>
      <c r="AX36" s="3">
        <f t="shared" si="48"/>
        <v>234210</v>
      </c>
      <c r="AY36" s="5">
        <v>872361</v>
      </c>
      <c r="AZ36" s="4">
        <f t="shared" si="49"/>
        <v>0.99660813636000134</v>
      </c>
      <c r="BA36" s="5">
        <v>893595</v>
      </c>
      <c r="BB36" s="13">
        <v>647730</v>
      </c>
      <c r="BC36" s="3">
        <f t="shared" si="50"/>
        <v>235862</v>
      </c>
      <c r="BD36" s="5">
        <v>883592</v>
      </c>
      <c r="BE36" s="4">
        <f t="shared" si="51"/>
        <v>0.98880589081183312</v>
      </c>
      <c r="BF36" s="5">
        <v>1566403</v>
      </c>
      <c r="BG36" s="13">
        <v>1053071</v>
      </c>
      <c r="BH36" s="3">
        <f t="shared" si="52"/>
        <v>507084</v>
      </c>
      <c r="BI36" s="5">
        <v>1560155</v>
      </c>
      <c r="BJ36" s="4">
        <f t="shared" si="53"/>
        <v>0.99601124359440063</v>
      </c>
    </row>
    <row r="37" spans="1:62" x14ac:dyDescent="0.3">
      <c r="A37" s="11">
        <v>29</v>
      </c>
      <c r="B37" s="2" t="s">
        <v>30</v>
      </c>
      <c r="C37" s="5">
        <v>675549</v>
      </c>
      <c r="D37" s="5">
        <v>384009</v>
      </c>
      <c r="E37" s="3">
        <f t="shared" si="0"/>
        <v>283642</v>
      </c>
      <c r="F37" s="5">
        <v>667651</v>
      </c>
      <c r="G37" s="4">
        <f t="shared" si="1"/>
        <v>0.98830876812784862</v>
      </c>
      <c r="H37" s="5">
        <v>681828</v>
      </c>
      <c r="I37" s="5">
        <v>396401</v>
      </c>
      <c r="J37" s="3">
        <f t="shared" si="32"/>
        <v>274116</v>
      </c>
      <c r="K37" s="5">
        <v>670517</v>
      </c>
      <c r="L37" s="4">
        <f t="shared" si="33"/>
        <v>0.98341077221821338</v>
      </c>
      <c r="M37" s="5">
        <v>856106</v>
      </c>
      <c r="N37" s="5">
        <v>498636</v>
      </c>
      <c r="O37" s="3">
        <f t="shared" si="34"/>
        <v>347625</v>
      </c>
      <c r="P37" s="5">
        <v>846261</v>
      </c>
      <c r="Q37" s="4">
        <f t="shared" si="35"/>
        <v>0.98850025580944412</v>
      </c>
      <c r="R37" s="5">
        <v>679636</v>
      </c>
      <c r="S37" s="5">
        <v>402549</v>
      </c>
      <c r="T37" s="3">
        <f t="shared" si="36"/>
        <v>268884</v>
      </c>
      <c r="U37" s="5">
        <v>671433</v>
      </c>
      <c r="V37" s="4">
        <f t="shared" si="37"/>
        <v>0.98793030386854142</v>
      </c>
      <c r="W37" s="5">
        <v>687189</v>
      </c>
      <c r="X37" s="5">
        <v>403315</v>
      </c>
      <c r="Y37" s="3">
        <f t="shared" si="38"/>
        <v>273209</v>
      </c>
      <c r="Z37" s="5">
        <v>676524</v>
      </c>
      <c r="AA37" s="4">
        <f t="shared" si="39"/>
        <v>0.98448025215770329</v>
      </c>
      <c r="AB37" s="5">
        <v>863912</v>
      </c>
      <c r="AC37" s="5">
        <v>506171</v>
      </c>
      <c r="AD37" s="3">
        <f t="shared" si="40"/>
        <v>349168</v>
      </c>
      <c r="AE37" s="5">
        <v>855339</v>
      </c>
      <c r="AF37" s="4">
        <f t="shared" si="41"/>
        <v>0.99007653557306763</v>
      </c>
      <c r="AG37" s="5">
        <v>690763</v>
      </c>
      <c r="AH37" s="13">
        <v>421980</v>
      </c>
      <c r="AI37" s="3">
        <f t="shared" si="42"/>
        <v>260547</v>
      </c>
      <c r="AJ37" s="5">
        <v>682527</v>
      </c>
      <c r="AK37" s="4">
        <f t="shared" si="43"/>
        <v>0.98807695258721151</v>
      </c>
      <c r="AL37" s="5">
        <v>697437</v>
      </c>
      <c r="AM37" s="13">
        <v>423616</v>
      </c>
      <c r="AN37" s="3">
        <f t="shared" si="44"/>
        <v>264889</v>
      </c>
      <c r="AO37" s="5">
        <v>688505</v>
      </c>
      <c r="AP37" s="4">
        <f t="shared" si="45"/>
        <v>0.98719310848148289</v>
      </c>
      <c r="AQ37" s="5">
        <v>873380</v>
      </c>
      <c r="AR37" s="13">
        <v>530410</v>
      </c>
      <c r="AS37" s="3">
        <f t="shared" si="46"/>
        <v>338385</v>
      </c>
      <c r="AT37" s="5">
        <v>868795</v>
      </c>
      <c r="AU37" s="4">
        <f t="shared" si="47"/>
        <v>0.99475028051936154</v>
      </c>
      <c r="AV37" s="5">
        <v>700086</v>
      </c>
      <c r="AW37" s="13">
        <v>427513</v>
      </c>
      <c r="AX37" s="3">
        <f t="shared" si="48"/>
        <v>266832</v>
      </c>
      <c r="AY37" s="5">
        <v>694345</v>
      </c>
      <c r="AZ37" s="4">
        <f t="shared" si="49"/>
        <v>0.99179957890887693</v>
      </c>
      <c r="BA37" s="5">
        <v>708485</v>
      </c>
      <c r="BB37" s="13">
        <v>430600</v>
      </c>
      <c r="BC37" s="3">
        <f t="shared" si="50"/>
        <v>268725</v>
      </c>
      <c r="BD37" s="5">
        <v>699325</v>
      </c>
      <c r="BE37" s="4">
        <f t="shared" si="51"/>
        <v>0.98707100362040123</v>
      </c>
      <c r="BF37" s="5">
        <v>887779</v>
      </c>
      <c r="BG37" s="13">
        <v>494061</v>
      </c>
      <c r="BH37" s="3">
        <f t="shared" si="52"/>
        <v>383941</v>
      </c>
      <c r="BI37" s="5">
        <v>878002</v>
      </c>
      <c r="BJ37" s="4">
        <f t="shared" si="53"/>
        <v>0.98898712404776412</v>
      </c>
    </row>
    <row r="38" spans="1:62" x14ac:dyDescent="0.3">
      <c r="A38" s="11">
        <v>30</v>
      </c>
      <c r="B38" s="2" t="s">
        <v>31</v>
      </c>
      <c r="C38" s="5">
        <v>22737</v>
      </c>
      <c r="D38" s="5">
        <v>13484</v>
      </c>
      <c r="E38" s="3">
        <f t="shared" si="0"/>
        <v>9413</v>
      </c>
      <c r="F38" s="5">
        <v>22897</v>
      </c>
      <c r="G38" s="4">
        <f t="shared" si="1"/>
        <v>1.0070369881690637</v>
      </c>
      <c r="H38" s="5">
        <v>23122</v>
      </c>
      <c r="I38" s="5">
        <v>13570</v>
      </c>
      <c r="J38" s="3">
        <f t="shared" si="32"/>
        <v>9600</v>
      </c>
      <c r="K38" s="5">
        <v>23170</v>
      </c>
      <c r="L38" s="4">
        <f t="shared" si="33"/>
        <v>1.0020759449874579</v>
      </c>
      <c r="M38" s="5">
        <v>35582</v>
      </c>
      <c r="N38" s="5">
        <v>21441</v>
      </c>
      <c r="O38" s="3">
        <f t="shared" si="34"/>
        <v>14385</v>
      </c>
      <c r="P38" s="5">
        <v>35826</v>
      </c>
      <c r="Q38" s="4">
        <f t="shared" si="35"/>
        <v>1.0068573998088921</v>
      </c>
      <c r="R38" s="5">
        <v>22911</v>
      </c>
      <c r="S38" s="5">
        <v>13789</v>
      </c>
      <c r="T38" s="3">
        <f t="shared" si="36"/>
        <v>9349</v>
      </c>
      <c r="U38" s="5">
        <v>23138</v>
      </c>
      <c r="V38" s="4">
        <f t="shared" si="37"/>
        <v>1.0099079045000219</v>
      </c>
      <c r="W38" s="5">
        <v>23450</v>
      </c>
      <c r="X38" s="5">
        <v>14168</v>
      </c>
      <c r="Y38" s="3">
        <f t="shared" si="38"/>
        <v>9178</v>
      </c>
      <c r="Z38" s="5">
        <v>23346</v>
      </c>
      <c r="AA38" s="4">
        <f t="shared" si="39"/>
        <v>0.99556503198294244</v>
      </c>
      <c r="AB38" s="5">
        <v>35915</v>
      </c>
      <c r="AC38" s="5">
        <v>22067</v>
      </c>
      <c r="AD38" s="3">
        <f t="shared" si="40"/>
        <v>14254</v>
      </c>
      <c r="AE38" s="5">
        <v>36321</v>
      </c>
      <c r="AF38" s="4">
        <f t="shared" si="41"/>
        <v>1.0113044688848671</v>
      </c>
      <c r="AG38" s="5">
        <v>23414</v>
      </c>
      <c r="AH38" s="13">
        <v>14738</v>
      </c>
      <c r="AI38" s="3">
        <f t="shared" si="42"/>
        <v>8887</v>
      </c>
      <c r="AJ38" s="5">
        <v>23625</v>
      </c>
      <c r="AK38" s="4">
        <f t="shared" si="43"/>
        <v>1.0090117024002734</v>
      </c>
      <c r="AL38" s="5">
        <v>23927</v>
      </c>
      <c r="AM38" s="13">
        <v>14951</v>
      </c>
      <c r="AN38" s="3">
        <f t="shared" si="44"/>
        <v>8951</v>
      </c>
      <c r="AO38" s="5">
        <v>23902</v>
      </c>
      <c r="AP38" s="4">
        <f t="shared" si="45"/>
        <v>0.99895515526392775</v>
      </c>
      <c r="AQ38" s="5">
        <v>36551</v>
      </c>
      <c r="AR38" s="13">
        <v>23698</v>
      </c>
      <c r="AS38" s="3">
        <f t="shared" si="46"/>
        <v>13379</v>
      </c>
      <c r="AT38" s="5">
        <v>37077</v>
      </c>
      <c r="AU38" s="4">
        <f t="shared" si="47"/>
        <v>1.0143908511395037</v>
      </c>
      <c r="AV38" s="5">
        <v>23833</v>
      </c>
      <c r="AW38" s="13">
        <v>15204</v>
      </c>
      <c r="AX38" s="3">
        <f t="shared" si="48"/>
        <v>8929</v>
      </c>
      <c r="AY38" s="5">
        <v>24133</v>
      </c>
      <c r="AZ38" s="4">
        <f t="shared" si="49"/>
        <v>1.0125875886376032</v>
      </c>
      <c r="BA38" s="5">
        <v>24292</v>
      </c>
      <c r="BB38" s="13">
        <v>15504</v>
      </c>
      <c r="BC38" s="3">
        <f t="shared" si="50"/>
        <v>8890</v>
      </c>
      <c r="BD38" s="5">
        <v>24394</v>
      </c>
      <c r="BE38" s="4">
        <f t="shared" si="51"/>
        <v>1.00419891322246</v>
      </c>
      <c r="BF38" s="5">
        <v>37393</v>
      </c>
      <c r="BG38" s="13">
        <v>22355</v>
      </c>
      <c r="BH38" s="3">
        <f t="shared" si="52"/>
        <v>15223</v>
      </c>
      <c r="BI38" s="5">
        <v>37578</v>
      </c>
      <c r="BJ38" s="4">
        <f t="shared" si="53"/>
        <v>1.0049474500574973</v>
      </c>
    </row>
    <row r="39" spans="1:62" x14ac:dyDescent="0.3">
      <c r="A39" s="11">
        <v>31</v>
      </c>
      <c r="B39" s="2" t="s">
        <v>32</v>
      </c>
      <c r="C39" s="5">
        <v>184</v>
      </c>
      <c r="D39" s="5">
        <v>93</v>
      </c>
      <c r="E39" s="3">
        <f t="shared" si="0"/>
        <v>94</v>
      </c>
      <c r="F39" s="5">
        <v>187</v>
      </c>
      <c r="G39" s="4">
        <f t="shared" si="1"/>
        <v>1.0163043478260869</v>
      </c>
      <c r="H39" s="5">
        <v>185</v>
      </c>
      <c r="I39" s="5">
        <v>83</v>
      </c>
      <c r="J39" s="3">
        <f t="shared" si="32"/>
        <v>104</v>
      </c>
      <c r="K39" s="5">
        <v>187</v>
      </c>
      <c r="L39" s="4">
        <f t="shared" si="33"/>
        <v>1.0108108108108107</v>
      </c>
      <c r="M39" s="5">
        <v>225</v>
      </c>
      <c r="N39" s="5">
        <v>122</v>
      </c>
      <c r="O39" s="3">
        <f t="shared" si="34"/>
        <v>107</v>
      </c>
      <c r="P39" s="5">
        <v>229</v>
      </c>
      <c r="Q39" s="4">
        <f t="shared" si="35"/>
        <v>1.0177777777777777</v>
      </c>
      <c r="R39" s="5">
        <v>185</v>
      </c>
      <c r="S39" s="5">
        <v>99</v>
      </c>
      <c r="T39" s="3">
        <f t="shared" si="36"/>
        <v>90</v>
      </c>
      <c r="U39" s="5">
        <v>189</v>
      </c>
      <c r="V39" s="4">
        <f t="shared" si="37"/>
        <v>1.0216216216216216</v>
      </c>
      <c r="W39" s="5">
        <v>190</v>
      </c>
      <c r="X39" s="5">
        <v>99</v>
      </c>
      <c r="Y39" s="3">
        <f t="shared" si="38"/>
        <v>92</v>
      </c>
      <c r="Z39" s="5">
        <v>191</v>
      </c>
      <c r="AA39" s="4">
        <f t="shared" si="39"/>
        <v>1.0052631578947369</v>
      </c>
      <c r="AB39" s="5">
        <v>229</v>
      </c>
      <c r="AC39" s="5">
        <v>123</v>
      </c>
      <c r="AD39" s="3">
        <f t="shared" si="40"/>
        <v>109</v>
      </c>
      <c r="AE39" s="5">
        <v>232</v>
      </c>
      <c r="AF39" s="4">
        <f t="shared" si="41"/>
        <v>1.0131004366812226</v>
      </c>
      <c r="AG39" s="5">
        <v>192</v>
      </c>
      <c r="AH39" s="13">
        <v>101</v>
      </c>
      <c r="AI39" s="3">
        <f t="shared" si="42"/>
        <v>88</v>
      </c>
      <c r="AJ39" s="5">
        <v>189</v>
      </c>
      <c r="AK39" s="4">
        <f t="shared" si="43"/>
        <v>0.984375</v>
      </c>
      <c r="AL39" s="5">
        <v>193</v>
      </c>
      <c r="AM39" s="13">
        <v>103</v>
      </c>
      <c r="AN39" s="3">
        <f t="shared" si="44"/>
        <v>92</v>
      </c>
      <c r="AO39" s="5">
        <v>195</v>
      </c>
      <c r="AP39" s="4">
        <f t="shared" si="45"/>
        <v>1.0103626943005182</v>
      </c>
      <c r="AQ39" s="5">
        <v>241</v>
      </c>
      <c r="AR39" s="13">
        <v>124</v>
      </c>
      <c r="AS39" s="3">
        <f t="shared" si="46"/>
        <v>117</v>
      </c>
      <c r="AT39" s="5">
        <v>241</v>
      </c>
      <c r="AU39" s="4">
        <f t="shared" si="47"/>
        <v>1</v>
      </c>
      <c r="AV39" s="5">
        <v>200</v>
      </c>
      <c r="AW39" s="13">
        <v>110</v>
      </c>
      <c r="AX39" s="3">
        <f t="shared" si="48"/>
        <v>89</v>
      </c>
      <c r="AY39" s="5">
        <v>199</v>
      </c>
      <c r="AZ39" s="4">
        <f t="shared" si="49"/>
        <v>0.995</v>
      </c>
      <c r="BA39" s="5">
        <v>207</v>
      </c>
      <c r="BB39" s="13">
        <v>97</v>
      </c>
      <c r="BC39" s="3">
        <f t="shared" si="50"/>
        <v>106</v>
      </c>
      <c r="BD39" s="5">
        <v>203</v>
      </c>
      <c r="BE39" s="4">
        <f t="shared" si="51"/>
        <v>0.98067632850241548</v>
      </c>
      <c r="BF39" s="5">
        <v>257</v>
      </c>
      <c r="BG39" s="13">
        <v>117</v>
      </c>
      <c r="BH39" s="3">
        <f t="shared" si="52"/>
        <v>136</v>
      </c>
      <c r="BI39" s="5">
        <v>253</v>
      </c>
      <c r="BJ39" s="4">
        <f t="shared" si="53"/>
        <v>0.98443579766536971</v>
      </c>
    </row>
    <row r="40" spans="1:62" x14ac:dyDescent="0.3">
      <c r="A40" s="11">
        <v>32</v>
      </c>
      <c r="B40" s="2" t="s">
        <v>33</v>
      </c>
      <c r="C40" s="5">
        <v>277722</v>
      </c>
      <c r="D40" s="5">
        <v>170984</v>
      </c>
      <c r="E40" s="3">
        <f t="shared" si="0"/>
        <v>104833</v>
      </c>
      <c r="F40" s="5">
        <v>275817</v>
      </c>
      <c r="G40" s="4">
        <f t="shared" si="1"/>
        <v>0.99314062263702552</v>
      </c>
      <c r="H40" s="5">
        <v>279588</v>
      </c>
      <c r="I40" s="5">
        <v>169489</v>
      </c>
      <c r="J40" s="3">
        <f t="shared" si="32"/>
        <v>108024</v>
      </c>
      <c r="K40" s="5">
        <v>277513</v>
      </c>
      <c r="L40" s="4">
        <f t="shared" si="33"/>
        <v>0.9925783653089546</v>
      </c>
      <c r="M40" s="5">
        <v>339205</v>
      </c>
      <c r="N40" s="5">
        <v>202402</v>
      </c>
      <c r="O40" s="3">
        <f t="shared" si="34"/>
        <v>135083</v>
      </c>
      <c r="P40" s="5">
        <v>337485</v>
      </c>
      <c r="Q40" s="4">
        <f t="shared" si="35"/>
        <v>0.99492932002771184</v>
      </c>
      <c r="R40" s="5">
        <v>280405</v>
      </c>
      <c r="S40" s="5">
        <v>174156</v>
      </c>
      <c r="T40" s="3">
        <f t="shared" si="36"/>
        <v>104657</v>
      </c>
      <c r="U40" s="5">
        <v>278813</v>
      </c>
      <c r="V40" s="4">
        <f t="shared" si="37"/>
        <v>0.99432249781565951</v>
      </c>
      <c r="W40" s="5">
        <v>283529</v>
      </c>
      <c r="X40" s="5">
        <v>170564</v>
      </c>
      <c r="Y40" s="3">
        <f t="shared" si="38"/>
        <v>110197</v>
      </c>
      <c r="Z40" s="5">
        <v>280761</v>
      </c>
      <c r="AA40" s="4">
        <f t="shared" si="39"/>
        <v>0.99023733022018912</v>
      </c>
      <c r="AB40" s="5">
        <v>342699</v>
      </c>
      <c r="AC40" s="5">
        <v>205427</v>
      </c>
      <c r="AD40" s="3">
        <f t="shared" si="40"/>
        <v>136194</v>
      </c>
      <c r="AE40" s="5">
        <v>341621</v>
      </c>
      <c r="AF40" s="4">
        <f t="shared" si="41"/>
        <v>0.99685438241722324</v>
      </c>
      <c r="AG40" s="5">
        <v>284836</v>
      </c>
      <c r="AH40" s="13">
        <v>179131</v>
      </c>
      <c r="AI40" s="3">
        <f t="shared" si="42"/>
        <v>104230</v>
      </c>
      <c r="AJ40" s="5">
        <v>283361</v>
      </c>
      <c r="AK40" s="4">
        <f t="shared" si="43"/>
        <v>0.99482158154165901</v>
      </c>
      <c r="AL40" s="5">
        <v>287465</v>
      </c>
      <c r="AM40" s="13">
        <v>175843</v>
      </c>
      <c r="AN40" s="3">
        <f t="shared" si="44"/>
        <v>109739</v>
      </c>
      <c r="AO40" s="5">
        <v>285582</v>
      </c>
      <c r="AP40" s="4">
        <f t="shared" si="45"/>
        <v>0.9934496373471553</v>
      </c>
      <c r="AQ40" s="5">
        <v>346543</v>
      </c>
      <c r="AR40" s="13">
        <v>212660</v>
      </c>
      <c r="AS40" s="3">
        <f t="shared" si="46"/>
        <v>133746</v>
      </c>
      <c r="AT40" s="5">
        <v>346406</v>
      </c>
      <c r="AU40" s="4">
        <f t="shared" si="47"/>
        <v>0.9996046666647429</v>
      </c>
      <c r="AV40" s="5">
        <v>288959</v>
      </c>
      <c r="AW40" s="13">
        <v>177096</v>
      </c>
      <c r="AX40" s="3">
        <f t="shared" si="48"/>
        <v>110594</v>
      </c>
      <c r="AY40" s="5">
        <v>287690</v>
      </c>
      <c r="AZ40" s="4">
        <f t="shared" si="49"/>
        <v>0.99560837350627596</v>
      </c>
      <c r="BA40" s="5">
        <v>291465</v>
      </c>
      <c r="BB40" s="13">
        <v>179400</v>
      </c>
      <c r="BC40" s="3">
        <f t="shared" si="50"/>
        <v>109465</v>
      </c>
      <c r="BD40" s="5">
        <v>288865</v>
      </c>
      <c r="BE40" s="4">
        <f t="shared" si="51"/>
        <v>0.99107954642924534</v>
      </c>
      <c r="BF40" s="5">
        <v>351557</v>
      </c>
      <c r="BG40" s="13">
        <v>200149</v>
      </c>
      <c r="BH40" s="3">
        <f t="shared" si="52"/>
        <v>149197</v>
      </c>
      <c r="BI40" s="5">
        <v>349346</v>
      </c>
      <c r="BJ40" s="4">
        <f t="shared" si="53"/>
        <v>0.99371083494283996</v>
      </c>
    </row>
    <row r="41" spans="1:62" x14ac:dyDescent="0.3">
      <c r="A41" s="11">
        <v>33</v>
      </c>
      <c r="B41" s="2" t="s">
        <v>34</v>
      </c>
      <c r="C41" s="5">
        <v>912114</v>
      </c>
      <c r="D41" s="5">
        <v>560126</v>
      </c>
      <c r="E41" s="3">
        <f t="shared" si="0"/>
        <v>345355</v>
      </c>
      <c r="F41" s="5">
        <v>905481</v>
      </c>
      <c r="G41" s="4">
        <f t="shared" si="1"/>
        <v>0.99272788269887313</v>
      </c>
      <c r="H41" s="5">
        <v>920596</v>
      </c>
      <c r="I41" s="5">
        <v>552307</v>
      </c>
      <c r="J41" s="3">
        <f t="shared" si="32"/>
        <v>358172</v>
      </c>
      <c r="K41" s="5">
        <v>910479</v>
      </c>
      <c r="L41" s="4">
        <f t="shared" si="33"/>
        <v>0.98901038023193666</v>
      </c>
      <c r="M41" s="5">
        <v>1028922</v>
      </c>
      <c r="N41" s="5">
        <v>622107</v>
      </c>
      <c r="O41" s="3">
        <f t="shared" si="34"/>
        <v>396091</v>
      </c>
      <c r="P41" s="5">
        <v>1018198</v>
      </c>
      <c r="Q41" s="4">
        <f t="shared" si="35"/>
        <v>0.98957744124433145</v>
      </c>
      <c r="R41" s="5">
        <v>924082</v>
      </c>
      <c r="S41" s="5">
        <v>554520</v>
      </c>
      <c r="T41" s="3">
        <f t="shared" si="36"/>
        <v>360402</v>
      </c>
      <c r="U41" s="5">
        <v>914922</v>
      </c>
      <c r="V41" s="4">
        <f t="shared" si="37"/>
        <v>0.99008745977088608</v>
      </c>
      <c r="W41" s="5">
        <v>929406</v>
      </c>
      <c r="X41" s="5">
        <v>562804</v>
      </c>
      <c r="Y41" s="3">
        <f t="shared" si="38"/>
        <v>356075</v>
      </c>
      <c r="Z41" s="5">
        <v>918879</v>
      </c>
      <c r="AA41" s="4">
        <f t="shared" si="39"/>
        <v>0.98867341075913007</v>
      </c>
      <c r="AB41" s="5">
        <v>1036539</v>
      </c>
      <c r="AC41" s="5">
        <v>630816</v>
      </c>
      <c r="AD41" s="3">
        <f t="shared" si="40"/>
        <v>396460</v>
      </c>
      <c r="AE41" s="5">
        <v>1027276</v>
      </c>
      <c r="AF41" s="4">
        <f t="shared" si="41"/>
        <v>0.99106352968870448</v>
      </c>
      <c r="AG41" s="5">
        <v>935526</v>
      </c>
      <c r="AH41" s="13">
        <v>576632</v>
      </c>
      <c r="AI41" s="3">
        <f t="shared" si="42"/>
        <v>348786</v>
      </c>
      <c r="AJ41" s="5">
        <v>925418</v>
      </c>
      <c r="AK41" s="4">
        <f t="shared" si="43"/>
        <v>0.98919538313205624</v>
      </c>
      <c r="AL41" s="5">
        <v>940174</v>
      </c>
      <c r="AM41" s="13">
        <v>566402</v>
      </c>
      <c r="AN41" s="3">
        <f t="shared" si="44"/>
        <v>363571</v>
      </c>
      <c r="AO41" s="5">
        <v>929973</v>
      </c>
      <c r="AP41" s="4">
        <f t="shared" si="45"/>
        <v>0.9891498807667517</v>
      </c>
      <c r="AQ41" s="5">
        <v>1046219</v>
      </c>
      <c r="AR41" s="13">
        <v>652887</v>
      </c>
      <c r="AS41" s="3">
        <f t="shared" si="46"/>
        <v>385845</v>
      </c>
      <c r="AT41" s="5">
        <v>1038732</v>
      </c>
      <c r="AU41" s="4">
        <f t="shared" si="47"/>
        <v>0.99284375451028894</v>
      </c>
      <c r="AV41" s="5">
        <v>945246</v>
      </c>
      <c r="AW41" s="13">
        <v>579439</v>
      </c>
      <c r="AX41" s="3">
        <f t="shared" si="48"/>
        <v>357310</v>
      </c>
      <c r="AY41" s="5">
        <v>936749</v>
      </c>
      <c r="AZ41" s="4">
        <f t="shared" si="49"/>
        <v>0.99101080565270838</v>
      </c>
      <c r="BA41" s="5">
        <v>950318</v>
      </c>
      <c r="BB41" s="13">
        <v>585875</v>
      </c>
      <c r="BC41" s="3">
        <f t="shared" si="50"/>
        <v>354806</v>
      </c>
      <c r="BD41" s="5">
        <v>940681</v>
      </c>
      <c r="BE41" s="4">
        <f t="shared" si="51"/>
        <v>0.98985918397841566</v>
      </c>
      <c r="BF41" s="5">
        <v>1056723</v>
      </c>
      <c r="BG41" s="13">
        <v>627240</v>
      </c>
      <c r="BH41" s="3">
        <f t="shared" si="52"/>
        <v>421737</v>
      </c>
      <c r="BI41" s="5">
        <v>1048977</v>
      </c>
      <c r="BJ41" s="4">
        <f t="shared" si="53"/>
        <v>0.99266979142121448</v>
      </c>
    </row>
    <row r="42" spans="1:62" x14ac:dyDescent="0.3">
      <c r="A42" s="11">
        <v>34</v>
      </c>
      <c r="B42" s="2" t="s">
        <v>35</v>
      </c>
      <c r="C42" s="5">
        <v>18445</v>
      </c>
      <c r="D42" s="5">
        <v>10051</v>
      </c>
      <c r="E42" s="3">
        <f t="shared" si="0"/>
        <v>8185</v>
      </c>
      <c r="F42" s="5">
        <v>18236</v>
      </c>
      <c r="G42" s="4">
        <f t="shared" si="1"/>
        <v>0.98866901599349422</v>
      </c>
      <c r="H42" s="5">
        <v>18615</v>
      </c>
      <c r="I42" s="5">
        <v>9731</v>
      </c>
      <c r="J42" s="3">
        <f t="shared" si="32"/>
        <v>8627</v>
      </c>
      <c r="K42" s="5">
        <v>18358</v>
      </c>
      <c r="L42" s="4">
        <f t="shared" si="33"/>
        <v>0.9861939296266452</v>
      </c>
      <c r="M42" s="5">
        <v>20702</v>
      </c>
      <c r="N42" s="5">
        <v>11077</v>
      </c>
      <c r="O42" s="3">
        <f t="shared" si="34"/>
        <v>9320</v>
      </c>
      <c r="P42" s="5">
        <v>20397</v>
      </c>
      <c r="Q42" s="4">
        <f t="shared" si="35"/>
        <v>0.98526712394937688</v>
      </c>
      <c r="R42" s="5">
        <v>18543</v>
      </c>
      <c r="S42" s="5">
        <v>9859</v>
      </c>
      <c r="T42" s="3">
        <f t="shared" si="36"/>
        <v>8476</v>
      </c>
      <c r="U42" s="5">
        <v>18335</v>
      </c>
      <c r="V42" s="4">
        <f t="shared" si="37"/>
        <v>0.98878282909992987</v>
      </c>
      <c r="W42" s="5">
        <v>18720</v>
      </c>
      <c r="X42" s="5">
        <v>9972</v>
      </c>
      <c r="Y42" s="3">
        <f t="shared" si="38"/>
        <v>8427</v>
      </c>
      <c r="Z42" s="5">
        <v>18399</v>
      </c>
      <c r="AA42" s="4">
        <f t="shared" si="39"/>
        <v>0.98285256410256405</v>
      </c>
      <c r="AB42" s="5">
        <v>20718</v>
      </c>
      <c r="AC42" s="5">
        <v>11198</v>
      </c>
      <c r="AD42" s="3">
        <f t="shared" si="40"/>
        <v>9145</v>
      </c>
      <c r="AE42" s="5">
        <v>20343</v>
      </c>
      <c r="AF42" s="4">
        <f t="shared" si="41"/>
        <v>0.98189979727772947</v>
      </c>
      <c r="AG42" s="5">
        <v>18665</v>
      </c>
      <c r="AH42" s="13">
        <v>10328</v>
      </c>
      <c r="AI42" s="3">
        <f t="shared" si="42"/>
        <v>8087</v>
      </c>
      <c r="AJ42" s="5">
        <v>18415</v>
      </c>
      <c r="AK42" s="4">
        <f t="shared" si="43"/>
        <v>0.98660594695954995</v>
      </c>
      <c r="AL42" s="5">
        <v>18792</v>
      </c>
      <c r="AM42" s="13">
        <v>10366</v>
      </c>
      <c r="AN42" s="3">
        <f t="shared" si="44"/>
        <v>8159</v>
      </c>
      <c r="AO42" s="5">
        <v>18525</v>
      </c>
      <c r="AP42" s="4">
        <f t="shared" si="45"/>
        <v>0.9857918263090677</v>
      </c>
      <c r="AQ42" s="5">
        <v>20796</v>
      </c>
      <c r="AR42" s="13">
        <v>11751</v>
      </c>
      <c r="AS42" s="3">
        <f t="shared" si="46"/>
        <v>8825</v>
      </c>
      <c r="AT42" s="5">
        <v>20576</v>
      </c>
      <c r="AU42" s="4">
        <f t="shared" si="47"/>
        <v>0.98942104250817464</v>
      </c>
      <c r="AV42" s="5">
        <v>18829</v>
      </c>
      <c r="AW42" s="13">
        <v>10333</v>
      </c>
      <c r="AX42" s="3">
        <f t="shared" si="48"/>
        <v>8271</v>
      </c>
      <c r="AY42" s="5">
        <v>18604</v>
      </c>
      <c r="AZ42" s="4">
        <f t="shared" si="49"/>
        <v>0.988050347867651</v>
      </c>
      <c r="BA42" s="5">
        <v>18938</v>
      </c>
      <c r="BB42" s="13">
        <v>10404</v>
      </c>
      <c r="BC42" s="3">
        <f t="shared" si="50"/>
        <v>8314</v>
      </c>
      <c r="BD42" s="5">
        <v>18718</v>
      </c>
      <c r="BE42" s="4">
        <f t="shared" si="51"/>
        <v>0.988383144999472</v>
      </c>
      <c r="BF42" s="5">
        <v>21042</v>
      </c>
      <c r="BG42" s="13">
        <v>11166</v>
      </c>
      <c r="BH42" s="3">
        <f t="shared" si="52"/>
        <v>9643</v>
      </c>
      <c r="BI42" s="5">
        <v>20809</v>
      </c>
      <c r="BJ42" s="4">
        <f t="shared" si="53"/>
        <v>0.98892690808858474</v>
      </c>
    </row>
    <row r="43" spans="1:62" x14ac:dyDescent="0.3">
      <c r="A43" s="11">
        <v>35</v>
      </c>
      <c r="B43" s="2" t="s">
        <v>46</v>
      </c>
      <c r="C43" s="5">
        <v>3455</v>
      </c>
      <c r="D43" s="5">
        <v>1579</v>
      </c>
      <c r="E43" s="3">
        <f t="shared" si="0"/>
        <v>1877</v>
      </c>
      <c r="F43" s="5">
        <v>3456</v>
      </c>
      <c r="G43" s="4">
        <f t="shared" si="1"/>
        <v>1.0002894356005789</v>
      </c>
      <c r="H43" s="5">
        <v>3541</v>
      </c>
      <c r="I43" s="5">
        <v>1531</v>
      </c>
      <c r="J43" s="3">
        <f t="shared" si="32"/>
        <v>1945</v>
      </c>
      <c r="K43" s="5">
        <v>3476</v>
      </c>
      <c r="L43" s="4">
        <f t="shared" si="33"/>
        <v>0.98164360350183566</v>
      </c>
      <c r="M43" s="5">
        <v>4395</v>
      </c>
      <c r="N43" s="5">
        <v>1896</v>
      </c>
      <c r="O43" s="3">
        <f t="shared" si="34"/>
        <v>2455</v>
      </c>
      <c r="P43" s="5">
        <v>4351</v>
      </c>
      <c r="Q43" s="4">
        <f t="shared" si="35"/>
        <v>0.98998862343572236</v>
      </c>
      <c r="R43" s="5">
        <v>3498</v>
      </c>
      <c r="S43" s="5">
        <v>1533</v>
      </c>
      <c r="T43" s="3">
        <f t="shared" si="36"/>
        <v>1959</v>
      </c>
      <c r="U43" s="5">
        <v>3492</v>
      </c>
      <c r="V43" s="4">
        <f t="shared" si="37"/>
        <v>0.99828473413379071</v>
      </c>
      <c r="W43" s="5">
        <v>3551</v>
      </c>
      <c r="X43" s="5">
        <v>1496</v>
      </c>
      <c r="Y43" s="3">
        <f t="shared" si="38"/>
        <v>2023</v>
      </c>
      <c r="Z43" s="5">
        <v>3519</v>
      </c>
      <c r="AA43" s="4">
        <f t="shared" si="39"/>
        <v>0.99098845395663193</v>
      </c>
      <c r="AB43" s="5">
        <v>4429</v>
      </c>
      <c r="AC43" s="5">
        <v>1985</v>
      </c>
      <c r="AD43" s="3">
        <f t="shared" si="40"/>
        <v>2404</v>
      </c>
      <c r="AE43" s="5">
        <v>4389</v>
      </c>
      <c r="AF43" s="4">
        <f t="shared" si="41"/>
        <v>0.99096861594039287</v>
      </c>
      <c r="AG43" s="5">
        <v>3560</v>
      </c>
      <c r="AH43" s="13">
        <v>1615</v>
      </c>
      <c r="AI43" s="3">
        <f t="shared" si="42"/>
        <v>1930</v>
      </c>
      <c r="AJ43" s="5">
        <v>3545</v>
      </c>
      <c r="AK43" s="4">
        <f t="shared" si="43"/>
        <v>0.9957865168539326</v>
      </c>
      <c r="AL43" s="5">
        <v>3588</v>
      </c>
      <c r="AM43" s="13">
        <v>1616</v>
      </c>
      <c r="AN43" s="3">
        <f t="shared" si="44"/>
        <v>1964</v>
      </c>
      <c r="AO43" s="5">
        <v>3580</v>
      </c>
      <c r="AP43" s="4">
        <f t="shared" si="45"/>
        <v>0.99777034559643252</v>
      </c>
      <c r="AQ43" s="5">
        <v>4449</v>
      </c>
      <c r="AR43" s="13">
        <v>2052</v>
      </c>
      <c r="AS43" s="3">
        <f t="shared" si="46"/>
        <v>2416</v>
      </c>
      <c r="AT43" s="5">
        <v>4468</v>
      </c>
      <c r="AU43" s="4">
        <f t="shared" si="47"/>
        <v>1.004270622611823</v>
      </c>
      <c r="AV43" s="5">
        <v>3616</v>
      </c>
      <c r="AW43" s="13">
        <v>1590</v>
      </c>
      <c r="AX43" s="3">
        <f t="shared" si="48"/>
        <v>2040</v>
      </c>
      <c r="AY43" s="5">
        <v>3630</v>
      </c>
      <c r="AZ43" s="4">
        <f t="shared" si="49"/>
        <v>1.0038716814159292</v>
      </c>
      <c r="BA43" s="5">
        <v>3655</v>
      </c>
      <c r="BB43" s="13">
        <v>1641</v>
      </c>
      <c r="BC43" s="3">
        <f t="shared" si="50"/>
        <v>2010</v>
      </c>
      <c r="BD43" s="5">
        <v>3651</v>
      </c>
      <c r="BE43" s="4">
        <f t="shared" si="51"/>
        <v>0.99890560875513001</v>
      </c>
      <c r="BF43" s="5">
        <v>4544</v>
      </c>
      <c r="BG43" s="13">
        <v>1774</v>
      </c>
      <c r="BH43" s="3">
        <f t="shared" si="52"/>
        <v>2773</v>
      </c>
      <c r="BI43" s="5">
        <v>4547</v>
      </c>
      <c r="BJ43" s="4">
        <f t="shared" si="53"/>
        <v>1.0006602112676057</v>
      </c>
    </row>
    <row r="44" spans="1:62" x14ac:dyDescent="0.3">
      <c r="A44" s="11">
        <v>36</v>
      </c>
      <c r="B44" s="2" t="s">
        <v>36</v>
      </c>
      <c r="C44" s="5">
        <v>336228</v>
      </c>
      <c r="D44" s="5">
        <v>169568</v>
      </c>
      <c r="E44" s="3">
        <f t="shared" si="0"/>
        <v>164101</v>
      </c>
      <c r="F44" s="5">
        <v>333669</v>
      </c>
      <c r="G44" s="4">
        <f t="shared" si="1"/>
        <v>0.99238909311538603</v>
      </c>
      <c r="H44" s="5">
        <v>340996</v>
      </c>
      <c r="I44" s="5">
        <v>168281</v>
      </c>
      <c r="J44" s="3">
        <f t="shared" si="32"/>
        <v>169305</v>
      </c>
      <c r="K44" s="5">
        <v>337586</v>
      </c>
      <c r="L44" s="4">
        <f t="shared" si="33"/>
        <v>0.98999988269657124</v>
      </c>
      <c r="M44" s="5">
        <v>408512</v>
      </c>
      <c r="N44" s="5">
        <v>204496</v>
      </c>
      <c r="O44" s="3">
        <f t="shared" si="34"/>
        <v>200358</v>
      </c>
      <c r="P44" s="5">
        <v>404854</v>
      </c>
      <c r="Q44" s="4">
        <f t="shared" si="35"/>
        <v>0.99104555068149769</v>
      </c>
      <c r="R44" s="5">
        <v>342556</v>
      </c>
      <c r="S44" s="5">
        <v>172031</v>
      </c>
      <c r="T44" s="3">
        <f t="shared" si="36"/>
        <v>167586</v>
      </c>
      <c r="U44" s="5">
        <v>339617</v>
      </c>
      <c r="V44" s="4">
        <f t="shared" si="37"/>
        <v>0.99142038090122486</v>
      </c>
      <c r="W44" s="5">
        <v>347597</v>
      </c>
      <c r="X44" s="5">
        <v>174724</v>
      </c>
      <c r="Y44" s="3">
        <f t="shared" si="38"/>
        <v>168769</v>
      </c>
      <c r="Z44" s="5">
        <v>343493</v>
      </c>
      <c r="AA44" s="4">
        <f t="shared" si="39"/>
        <v>0.98819322376200025</v>
      </c>
      <c r="AB44" s="5">
        <v>416340</v>
      </c>
      <c r="AC44" s="5">
        <v>210025</v>
      </c>
      <c r="AD44" s="3">
        <f t="shared" si="40"/>
        <v>203138</v>
      </c>
      <c r="AE44" s="5">
        <v>413163</v>
      </c>
      <c r="AF44" s="4">
        <f t="shared" si="41"/>
        <v>0.99236921746649376</v>
      </c>
      <c r="AG44" s="5">
        <v>350469</v>
      </c>
      <c r="AH44" s="13">
        <v>181425</v>
      </c>
      <c r="AI44" s="3">
        <f t="shared" si="42"/>
        <v>166148</v>
      </c>
      <c r="AJ44" s="5">
        <v>347573</v>
      </c>
      <c r="AK44" s="4">
        <f t="shared" si="43"/>
        <v>0.9917367869911462</v>
      </c>
      <c r="AL44" s="5">
        <v>355186</v>
      </c>
      <c r="AM44" s="13">
        <v>181733</v>
      </c>
      <c r="AN44" s="3">
        <f t="shared" si="44"/>
        <v>169315</v>
      </c>
      <c r="AO44" s="5">
        <v>351048</v>
      </c>
      <c r="AP44" s="4">
        <f t="shared" si="45"/>
        <v>0.98834976603807578</v>
      </c>
      <c r="AQ44" s="5">
        <v>424208</v>
      </c>
      <c r="AR44" s="13">
        <v>223587</v>
      </c>
      <c r="AS44" s="3">
        <f t="shared" si="46"/>
        <v>198216</v>
      </c>
      <c r="AT44" s="5">
        <v>421803</v>
      </c>
      <c r="AU44" s="4">
        <f t="shared" si="47"/>
        <v>0.99433061139818202</v>
      </c>
      <c r="AV44" s="5">
        <v>358114</v>
      </c>
      <c r="AW44" s="13">
        <v>187561</v>
      </c>
      <c r="AX44" s="3">
        <f t="shared" si="48"/>
        <v>167076</v>
      </c>
      <c r="AY44" s="5">
        <v>354637</v>
      </c>
      <c r="AZ44" s="4">
        <f t="shared" si="49"/>
        <v>0.99029080125323221</v>
      </c>
      <c r="BA44" s="5">
        <v>361984</v>
      </c>
      <c r="BB44" s="13">
        <v>186951</v>
      </c>
      <c r="BC44" s="3">
        <f t="shared" si="50"/>
        <v>170783</v>
      </c>
      <c r="BD44" s="5">
        <v>357734</v>
      </c>
      <c r="BE44" s="4">
        <f t="shared" si="51"/>
        <v>0.98825914957567185</v>
      </c>
      <c r="BF44" s="5">
        <v>432310</v>
      </c>
      <c r="BG44" s="13">
        <v>202596</v>
      </c>
      <c r="BH44" s="3">
        <f t="shared" si="52"/>
        <v>225362</v>
      </c>
      <c r="BI44" s="5">
        <v>427958</v>
      </c>
      <c r="BJ44" s="4">
        <f t="shared" si="53"/>
        <v>0.9899331498230437</v>
      </c>
    </row>
    <row r="45" spans="1:62" x14ac:dyDescent="0.3">
      <c r="A45" s="11">
        <v>37</v>
      </c>
      <c r="B45" s="2" t="s">
        <v>37</v>
      </c>
      <c r="C45" s="5">
        <v>255558</v>
      </c>
      <c r="D45" s="5">
        <v>135113</v>
      </c>
      <c r="E45" s="3">
        <f t="shared" si="0"/>
        <v>116352</v>
      </c>
      <c r="F45" s="5">
        <v>251465</v>
      </c>
      <c r="G45" s="4">
        <f t="shared" si="1"/>
        <v>0.98398406623936641</v>
      </c>
      <c r="H45" s="5">
        <v>257610</v>
      </c>
      <c r="I45" s="5">
        <v>134183</v>
      </c>
      <c r="J45" s="3">
        <f t="shared" si="32"/>
        <v>119207</v>
      </c>
      <c r="K45" s="5">
        <v>253390</v>
      </c>
      <c r="L45" s="4">
        <f t="shared" si="33"/>
        <v>0.98361864834439661</v>
      </c>
      <c r="M45" s="5">
        <v>310366</v>
      </c>
      <c r="N45" s="5">
        <v>161234</v>
      </c>
      <c r="O45" s="3">
        <f t="shared" si="34"/>
        <v>144155</v>
      </c>
      <c r="P45" s="5">
        <v>305389</v>
      </c>
      <c r="Q45" s="4">
        <f t="shared" si="35"/>
        <v>0.98396409400514229</v>
      </c>
      <c r="R45" s="5">
        <v>257356</v>
      </c>
      <c r="S45" s="5">
        <v>135142</v>
      </c>
      <c r="T45" s="3">
        <f t="shared" si="36"/>
        <v>118765</v>
      </c>
      <c r="U45" s="5">
        <v>253907</v>
      </c>
      <c r="V45" s="4">
        <f t="shared" si="37"/>
        <v>0.98659833071698344</v>
      </c>
      <c r="W45" s="5">
        <v>260553</v>
      </c>
      <c r="X45" s="5">
        <v>134901</v>
      </c>
      <c r="Y45" s="3">
        <f t="shared" si="38"/>
        <v>120968</v>
      </c>
      <c r="Z45" s="5">
        <v>255869</v>
      </c>
      <c r="AA45" s="4">
        <f t="shared" si="39"/>
        <v>0.98202285139683676</v>
      </c>
      <c r="AB45" s="5">
        <v>313911</v>
      </c>
      <c r="AC45" s="5">
        <v>160994</v>
      </c>
      <c r="AD45" s="3">
        <f t="shared" si="40"/>
        <v>147993</v>
      </c>
      <c r="AE45" s="5">
        <v>308987</v>
      </c>
      <c r="AF45" s="4">
        <f t="shared" si="41"/>
        <v>0.98431402531290713</v>
      </c>
      <c r="AG45" s="5">
        <v>261210</v>
      </c>
      <c r="AH45" s="13">
        <v>140924</v>
      </c>
      <c r="AI45" s="3">
        <f t="shared" si="42"/>
        <v>116251</v>
      </c>
      <c r="AJ45" s="5">
        <v>257175</v>
      </c>
      <c r="AK45" s="4">
        <f t="shared" si="43"/>
        <v>0.98455265878029175</v>
      </c>
      <c r="AL45" s="5">
        <v>264020</v>
      </c>
      <c r="AM45" s="13">
        <v>138694</v>
      </c>
      <c r="AN45" s="3">
        <f t="shared" si="44"/>
        <v>120872</v>
      </c>
      <c r="AO45" s="5">
        <v>259566</v>
      </c>
      <c r="AP45" s="4">
        <f t="shared" si="45"/>
        <v>0.98313006590409813</v>
      </c>
      <c r="AQ45" s="5">
        <v>317407</v>
      </c>
      <c r="AR45" s="13">
        <v>168538</v>
      </c>
      <c r="AS45" s="3">
        <f t="shared" si="46"/>
        <v>143444</v>
      </c>
      <c r="AT45" s="5">
        <v>311982</v>
      </c>
      <c r="AU45" s="4">
        <f t="shared" si="47"/>
        <v>0.98290837946233067</v>
      </c>
      <c r="AV45" s="5">
        <v>263886</v>
      </c>
      <c r="AW45" s="13">
        <v>141302</v>
      </c>
      <c r="AX45" s="3">
        <f t="shared" si="48"/>
        <v>118261</v>
      </c>
      <c r="AY45" s="5">
        <v>259563</v>
      </c>
      <c r="AZ45" s="4">
        <f t="shared" si="49"/>
        <v>0.98361792592255748</v>
      </c>
      <c r="BA45" s="5">
        <v>265781</v>
      </c>
      <c r="BB45" s="13">
        <v>140546</v>
      </c>
      <c r="BC45" s="3">
        <f t="shared" si="50"/>
        <v>120842</v>
      </c>
      <c r="BD45" s="5">
        <v>261388</v>
      </c>
      <c r="BE45" s="4">
        <f t="shared" si="51"/>
        <v>0.98347135423525389</v>
      </c>
      <c r="BF45" s="5">
        <v>319799</v>
      </c>
      <c r="BG45" s="13">
        <v>150065</v>
      </c>
      <c r="BH45" s="3">
        <f t="shared" si="52"/>
        <v>165022</v>
      </c>
      <c r="BI45" s="5">
        <v>315087</v>
      </c>
      <c r="BJ45" s="4">
        <f t="shared" si="53"/>
        <v>0.98526574504610709</v>
      </c>
    </row>
    <row r="46" spans="1:62" x14ac:dyDescent="0.3">
      <c r="A46" s="11">
        <v>38</v>
      </c>
      <c r="B46" s="2" t="s">
        <v>38</v>
      </c>
      <c r="C46" s="5">
        <v>2214</v>
      </c>
      <c r="D46" s="5">
        <v>725</v>
      </c>
      <c r="E46" s="3">
        <f t="shared" si="0"/>
        <v>1643</v>
      </c>
      <c r="F46" s="5">
        <v>2368</v>
      </c>
      <c r="G46" s="4">
        <f t="shared" si="1"/>
        <v>1.069557362240289</v>
      </c>
      <c r="H46" s="5">
        <v>2377</v>
      </c>
      <c r="I46" s="5">
        <v>888</v>
      </c>
      <c r="J46" s="3">
        <f t="shared" si="32"/>
        <v>1620</v>
      </c>
      <c r="K46" s="5">
        <v>2508</v>
      </c>
      <c r="L46" s="4">
        <f t="shared" si="33"/>
        <v>1.0551114850652084</v>
      </c>
      <c r="M46" s="5">
        <v>6689</v>
      </c>
      <c r="N46" s="5">
        <v>2471</v>
      </c>
      <c r="O46" s="3">
        <f t="shared" si="34"/>
        <v>4405</v>
      </c>
      <c r="P46" s="5">
        <v>6876</v>
      </c>
      <c r="Q46" s="4">
        <f t="shared" si="35"/>
        <v>1.0279563462400956</v>
      </c>
      <c r="R46" s="5">
        <v>2186</v>
      </c>
      <c r="S46" s="5">
        <v>814</v>
      </c>
      <c r="T46" s="3">
        <f t="shared" si="36"/>
        <v>1522</v>
      </c>
      <c r="U46" s="5">
        <v>2336</v>
      </c>
      <c r="V46" s="4">
        <f t="shared" si="37"/>
        <v>1.0686184812442818</v>
      </c>
      <c r="W46" s="5">
        <v>2396</v>
      </c>
      <c r="X46" s="5">
        <v>864</v>
      </c>
      <c r="Y46" s="3">
        <f t="shared" si="38"/>
        <v>1580</v>
      </c>
      <c r="Z46" s="5">
        <v>2444</v>
      </c>
      <c r="AA46" s="4">
        <f t="shared" si="39"/>
        <v>1.020033388981636</v>
      </c>
      <c r="AB46" s="5">
        <v>6920</v>
      </c>
      <c r="AC46" s="5">
        <v>2554</v>
      </c>
      <c r="AD46" s="3">
        <f t="shared" si="40"/>
        <v>4608</v>
      </c>
      <c r="AE46" s="5">
        <v>7162</v>
      </c>
      <c r="AF46" s="4">
        <f t="shared" si="41"/>
        <v>1.034971098265896</v>
      </c>
      <c r="AG46" s="5">
        <v>2260</v>
      </c>
      <c r="AH46" s="13">
        <v>869</v>
      </c>
      <c r="AI46" s="3">
        <f t="shared" si="42"/>
        <v>1489</v>
      </c>
      <c r="AJ46" s="5">
        <v>2358</v>
      </c>
      <c r="AK46" s="4">
        <f t="shared" si="43"/>
        <v>1.0433628318584072</v>
      </c>
      <c r="AL46" s="5">
        <v>2436</v>
      </c>
      <c r="AM46" s="13">
        <v>969</v>
      </c>
      <c r="AN46" s="3">
        <f t="shared" si="44"/>
        <v>1479</v>
      </c>
      <c r="AO46" s="5">
        <v>2448</v>
      </c>
      <c r="AP46" s="4">
        <f t="shared" si="45"/>
        <v>1.0049261083743843</v>
      </c>
      <c r="AQ46" s="5">
        <v>7143</v>
      </c>
      <c r="AR46" s="13">
        <v>3070</v>
      </c>
      <c r="AS46" s="3">
        <f t="shared" si="46"/>
        <v>4291</v>
      </c>
      <c r="AT46" s="5">
        <v>7361</v>
      </c>
      <c r="AU46" s="4">
        <f t="shared" si="47"/>
        <v>1.0305193896122078</v>
      </c>
      <c r="AV46" s="5">
        <v>2225</v>
      </c>
      <c r="AW46" s="13">
        <v>903</v>
      </c>
      <c r="AX46" s="3">
        <f t="shared" si="48"/>
        <v>1452</v>
      </c>
      <c r="AY46" s="5">
        <v>2355</v>
      </c>
      <c r="AZ46" s="4">
        <f t="shared" si="49"/>
        <v>1.0584269662921348</v>
      </c>
      <c r="BA46" s="5">
        <v>2388</v>
      </c>
      <c r="BB46" s="13">
        <v>1000</v>
      </c>
      <c r="BC46" s="3">
        <f t="shared" si="50"/>
        <v>1418</v>
      </c>
      <c r="BD46" s="5">
        <v>2418</v>
      </c>
      <c r="BE46" s="4">
        <f t="shared" si="51"/>
        <v>1.0125628140703518</v>
      </c>
      <c r="BF46" s="5">
        <v>7407</v>
      </c>
      <c r="BG46" s="13">
        <v>2920</v>
      </c>
      <c r="BH46" s="3">
        <f t="shared" si="52"/>
        <v>4641</v>
      </c>
      <c r="BI46" s="5">
        <v>7561</v>
      </c>
      <c r="BJ46" s="4">
        <f t="shared" si="53"/>
        <v>1.0207911435128931</v>
      </c>
    </row>
    <row r="47" spans="1:62" x14ac:dyDescent="0.3">
      <c r="A47" s="11">
        <v>97</v>
      </c>
      <c r="B47" s="2" t="s">
        <v>39</v>
      </c>
      <c r="C47" s="5">
        <v>84</v>
      </c>
      <c r="D47" s="5">
        <v>62</v>
      </c>
      <c r="E47" s="3">
        <f t="shared" si="0"/>
        <v>6</v>
      </c>
      <c r="F47" s="5">
        <v>68</v>
      </c>
      <c r="G47" s="4">
        <f t="shared" si="1"/>
        <v>0.80952380952380953</v>
      </c>
      <c r="H47" s="5">
        <v>81</v>
      </c>
      <c r="I47" s="5">
        <v>63</v>
      </c>
      <c r="J47" s="3">
        <f t="shared" si="32"/>
        <v>5</v>
      </c>
      <c r="K47" s="5">
        <v>68</v>
      </c>
      <c r="L47" s="4">
        <f t="shared" si="33"/>
        <v>0.83950617283950613</v>
      </c>
      <c r="M47" s="5">
        <v>86</v>
      </c>
      <c r="N47" s="5">
        <v>67</v>
      </c>
      <c r="O47" s="3">
        <f t="shared" si="34"/>
        <v>7</v>
      </c>
      <c r="P47" s="5">
        <v>74</v>
      </c>
      <c r="Q47" s="4">
        <f t="shared" si="35"/>
        <v>0.86046511627906974</v>
      </c>
      <c r="R47" s="5">
        <v>80</v>
      </c>
      <c r="S47" s="5">
        <v>62</v>
      </c>
      <c r="T47" s="3">
        <f t="shared" si="36"/>
        <v>5</v>
      </c>
      <c r="U47" s="5">
        <v>67</v>
      </c>
      <c r="V47" s="4">
        <f t="shared" si="37"/>
        <v>0.83750000000000002</v>
      </c>
      <c r="W47" s="5">
        <v>81</v>
      </c>
      <c r="X47" s="5">
        <v>62</v>
      </c>
      <c r="Y47" s="3">
        <f t="shared" si="38"/>
        <v>5</v>
      </c>
      <c r="Z47" s="5">
        <v>67</v>
      </c>
      <c r="AA47" s="4">
        <f t="shared" si="39"/>
        <v>0.8271604938271605</v>
      </c>
      <c r="AB47" s="5">
        <v>87</v>
      </c>
      <c r="AC47" s="5">
        <v>66</v>
      </c>
      <c r="AD47" s="3">
        <f t="shared" si="40"/>
        <v>7</v>
      </c>
      <c r="AE47" s="5">
        <v>73</v>
      </c>
      <c r="AF47" s="4">
        <f t="shared" si="41"/>
        <v>0.83908045977011492</v>
      </c>
      <c r="AG47" s="5">
        <v>81</v>
      </c>
      <c r="AH47" s="13">
        <v>63</v>
      </c>
      <c r="AI47" s="3">
        <f t="shared" si="42"/>
        <v>3</v>
      </c>
      <c r="AJ47" s="5">
        <v>66</v>
      </c>
      <c r="AK47" s="4">
        <f t="shared" si="43"/>
        <v>0.81481481481481477</v>
      </c>
      <c r="AL47" s="5">
        <v>81</v>
      </c>
      <c r="AM47" s="13">
        <v>62</v>
      </c>
      <c r="AN47" s="3">
        <f t="shared" si="44"/>
        <v>4</v>
      </c>
      <c r="AO47" s="5">
        <v>66</v>
      </c>
      <c r="AP47" s="4">
        <f t="shared" si="45"/>
        <v>0.81481481481481477</v>
      </c>
      <c r="AQ47" s="5">
        <v>87</v>
      </c>
      <c r="AR47" s="13">
        <v>66</v>
      </c>
      <c r="AS47" s="3">
        <f t="shared" si="46"/>
        <v>5</v>
      </c>
      <c r="AT47" s="5">
        <v>71</v>
      </c>
      <c r="AU47" s="4">
        <f t="shared" si="47"/>
        <v>0.81609195402298851</v>
      </c>
      <c r="AV47" s="5">
        <v>81</v>
      </c>
      <c r="AW47" s="13">
        <v>63</v>
      </c>
      <c r="AX47" s="3">
        <f t="shared" si="48"/>
        <v>3</v>
      </c>
      <c r="AY47" s="5">
        <v>66</v>
      </c>
      <c r="AZ47" s="4">
        <f t="shared" si="49"/>
        <v>0.81481481481481477</v>
      </c>
      <c r="BA47" s="5">
        <v>80</v>
      </c>
      <c r="BB47" s="13">
        <v>61</v>
      </c>
      <c r="BC47" s="3">
        <f t="shared" si="50"/>
        <v>4</v>
      </c>
      <c r="BD47" s="5">
        <v>65</v>
      </c>
      <c r="BE47" s="4">
        <f t="shared" si="51"/>
        <v>0.8125</v>
      </c>
      <c r="BF47" s="5">
        <v>85</v>
      </c>
      <c r="BG47" s="13">
        <v>63</v>
      </c>
      <c r="BH47" s="3">
        <f t="shared" si="52"/>
        <v>6</v>
      </c>
      <c r="BI47" s="5">
        <v>69</v>
      </c>
      <c r="BJ47" s="4">
        <f t="shared" si="53"/>
        <v>0.81176470588235294</v>
      </c>
    </row>
    <row r="48" spans="1:62" ht="15.6" x14ac:dyDescent="0.3">
      <c r="A48" s="14" t="s">
        <v>40</v>
      </c>
      <c r="B48" s="14"/>
      <c r="C48" s="7">
        <f>SUM(C10:C47)</f>
        <v>7712416</v>
      </c>
      <c r="D48" s="7">
        <f>SUM(D10:D47)</f>
        <v>4658929</v>
      </c>
      <c r="E48" s="8">
        <f>F48-D48</f>
        <v>3007148</v>
      </c>
      <c r="F48" s="7">
        <f>SUM(F10:F47)</f>
        <v>7666077</v>
      </c>
      <c r="G48" s="6">
        <f>F48/C48</f>
        <v>0.99399163634326781</v>
      </c>
      <c r="H48" s="7">
        <f>SUM(H10:H47)</f>
        <v>7867344</v>
      </c>
      <c r="I48" s="7">
        <f>SUM(I10:I47)</f>
        <v>4706855</v>
      </c>
      <c r="J48" s="8">
        <f>K48-I48</f>
        <v>3057681</v>
      </c>
      <c r="K48" s="7">
        <f>SUM(K10:K47)</f>
        <v>7764536</v>
      </c>
      <c r="L48" s="6">
        <f>K48/H48</f>
        <v>0.98693231159079864</v>
      </c>
      <c r="M48" s="7">
        <f>SUM(M10:M47)</f>
        <v>12152252</v>
      </c>
      <c r="N48" s="7">
        <f>SUM(N10:N47)</f>
        <v>7122664</v>
      </c>
      <c r="O48" s="8">
        <f>P48-N48</f>
        <v>4953318</v>
      </c>
      <c r="P48" s="7">
        <f>SUM(P10:P47)</f>
        <v>12075982</v>
      </c>
      <c r="Q48" s="6">
        <f>P48/M48</f>
        <v>0.99372379703778357</v>
      </c>
      <c r="R48" s="7">
        <f>SUM(R10:R47)</f>
        <v>7805893</v>
      </c>
      <c r="S48" s="7">
        <f>SUM(S10:S47)</f>
        <v>4711364</v>
      </c>
      <c r="T48" s="8">
        <f>U48-S48</f>
        <v>3022354</v>
      </c>
      <c r="U48" s="7">
        <f>SUM(U10:U47)</f>
        <v>7733718</v>
      </c>
      <c r="V48" s="6">
        <f>U48/R48</f>
        <v>0.99075378050916152</v>
      </c>
      <c r="W48" s="7">
        <f>SUM(W10:W47)</f>
        <v>7947831</v>
      </c>
      <c r="X48" s="7">
        <f>SUM(X10:X47)</f>
        <v>4763705</v>
      </c>
      <c r="Y48" s="8">
        <f>Z48-X48</f>
        <v>3061656</v>
      </c>
      <c r="Z48" s="7">
        <f>SUM(Z10:Z47)</f>
        <v>7825361</v>
      </c>
      <c r="AA48" s="6">
        <f>Z48/W48</f>
        <v>0.98459076444881632</v>
      </c>
      <c r="AB48" s="7">
        <f>SUM(AB10:AB47)</f>
        <v>12284179</v>
      </c>
      <c r="AC48" s="7">
        <f>SUM(AC10:AC47)</f>
        <v>7258454</v>
      </c>
      <c r="AD48" s="8">
        <f>AE48-AC48</f>
        <v>4960797</v>
      </c>
      <c r="AE48" s="7">
        <f>SUM(AE10:AE47)</f>
        <v>12219251</v>
      </c>
      <c r="AF48" s="6">
        <f>AE48/AB48</f>
        <v>0.99471450228786151</v>
      </c>
      <c r="AG48" s="7">
        <f>SUM(AG10:AG47)</f>
        <v>7934386</v>
      </c>
      <c r="AH48" s="7">
        <f>SUM(AH10:AH47)</f>
        <v>4892180</v>
      </c>
      <c r="AI48" s="8">
        <f>AJ48-AH48</f>
        <v>2973046</v>
      </c>
      <c r="AJ48" s="7">
        <f>SUM(AJ10:AJ47)</f>
        <v>7865226</v>
      </c>
      <c r="AK48" s="6">
        <f>AJ48/AG48</f>
        <v>0.99128350952424049</v>
      </c>
      <c r="AL48" s="7">
        <f>SUM(AL10:AL47)</f>
        <v>8078477</v>
      </c>
      <c r="AM48" s="7">
        <f>SUM(AM10:AM47)</f>
        <v>4911130</v>
      </c>
      <c r="AN48" s="8">
        <f>AO48-AM48</f>
        <v>3042970</v>
      </c>
      <c r="AO48" s="7">
        <f>SUM(AO10:AO47)</f>
        <v>7954100</v>
      </c>
      <c r="AP48" s="6">
        <f>AO48/AL48</f>
        <v>0.98460390491920691</v>
      </c>
      <c r="AQ48" s="7">
        <f>SUM(AQ10:AQ47)</f>
        <v>12445246</v>
      </c>
      <c r="AR48" s="7">
        <f>SUM(AR10:AR47)</f>
        <v>7537318</v>
      </c>
      <c r="AS48" s="8">
        <f>AT48-AR48</f>
        <v>4871516</v>
      </c>
      <c r="AT48" s="7">
        <f>SUM(AT10:AT47)</f>
        <v>12408834</v>
      </c>
      <c r="AU48" s="6">
        <f>AT48/AQ48</f>
        <v>0.9970742241655971</v>
      </c>
      <c r="AV48" s="7">
        <f>SUM(AV10:AV47)</f>
        <v>8061336</v>
      </c>
      <c r="AW48" s="7">
        <f>SUM(AW10:AW47)</f>
        <v>5006913</v>
      </c>
      <c r="AX48" s="8">
        <f>AY48-AW48</f>
        <v>2993623</v>
      </c>
      <c r="AY48" s="7">
        <f>SUM(AY10:AY47)</f>
        <v>8000536</v>
      </c>
      <c r="AZ48" s="6">
        <f>AY48/AV48</f>
        <v>0.99245782584921405</v>
      </c>
      <c r="BA48" s="7">
        <f>SUM(BA10:BA47)</f>
        <v>8202455</v>
      </c>
      <c r="BB48" s="7">
        <f>SUM(BB10:BB47)</f>
        <v>5066399</v>
      </c>
      <c r="BC48" s="8">
        <f>BD48-BB48</f>
        <v>3027257</v>
      </c>
      <c r="BD48" s="7">
        <f>SUM(BD10:BD47)</f>
        <v>8093656</v>
      </c>
      <c r="BE48" s="6">
        <f>BD48/BA48</f>
        <v>0.98673580044023401</v>
      </c>
      <c r="BF48" s="7">
        <f>SUM(BF10:BF47)</f>
        <v>12656060</v>
      </c>
      <c r="BG48" s="7">
        <f>SUM(BG10:BG47)</f>
        <v>7256595</v>
      </c>
      <c r="BH48" s="8">
        <f>BI48-BG48</f>
        <v>5322845</v>
      </c>
      <c r="BI48" s="7">
        <f>SUM(BI10:BI47)</f>
        <v>12579440</v>
      </c>
      <c r="BJ48" s="6">
        <f>BI48/BF48</f>
        <v>0.99394598318908101</v>
      </c>
    </row>
  </sheetData>
  <mergeCells count="18">
    <mergeCell ref="A1:E1"/>
    <mergeCell ref="AQ8:AU8"/>
    <mergeCell ref="AV8:AZ8"/>
    <mergeCell ref="BF8:BJ8"/>
    <mergeCell ref="R8:V8"/>
    <mergeCell ref="H8:L8"/>
    <mergeCell ref="M8:Q8"/>
    <mergeCell ref="W8:AA8"/>
    <mergeCell ref="AB8:AF8"/>
    <mergeCell ref="AG8:AK8"/>
    <mergeCell ref="AL8:AP8"/>
    <mergeCell ref="BA8:BE8"/>
    <mergeCell ref="A48:B48"/>
    <mergeCell ref="A3:B3"/>
    <mergeCell ref="A5:C5"/>
    <mergeCell ref="A8:A9"/>
    <mergeCell ref="B8:B9"/>
    <mergeCell ref="C8:G8"/>
  </mergeCells>
  <pageMargins left="0.7" right="0.7" top="0.75" bottom="0.75" header="0.3" footer="0.3"/>
  <pageSetup orientation="portrait" r:id="rId1"/>
  <ignoredErrors>
    <ignoredError sqref="A19:A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GSTR-1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Budhiraja</dc:creator>
  <cp:lastModifiedBy>Krishan Pal Singh</cp:lastModifiedBy>
  <dcterms:created xsi:type="dcterms:W3CDTF">2021-04-12T06:01:25Z</dcterms:created>
  <dcterms:modified xsi:type="dcterms:W3CDTF">2026-02-13T07:23:31Z</dcterms:modified>
</cp:coreProperties>
</file>