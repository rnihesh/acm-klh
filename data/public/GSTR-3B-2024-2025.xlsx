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GSTN\Krishnan Sir\Monthly Report\Jan-26\GST Statistics Downloads 31st Jan 26\Downloads\GSTR 3B\"/>
    </mc:Choice>
  </mc:AlternateContent>
  <xr:revisionPtr revIDLastSave="0" documentId="13_ncr:1_{12F5A9F5-57D9-4464-ACF2-03D98957F8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3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48" i="1" l="1"/>
  <c r="BG48" i="1"/>
  <c r="BF48" i="1"/>
  <c r="BJ47" i="1"/>
  <c r="BH47" i="1"/>
  <c r="BJ46" i="1"/>
  <c r="BH46" i="1"/>
  <c r="BJ45" i="1"/>
  <c r="BH45" i="1"/>
  <c r="BJ44" i="1"/>
  <c r="BH44" i="1"/>
  <c r="BJ43" i="1"/>
  <c r="BH43" i="1"/>
  <c r="BJ42" i="1"/>
  <c r="BH42" i="1"/>
  <c r="BJ41" i="1"/>
  <c r="BH41" i="1"/>
  <c r="BJ40" i="1"/>
  <c r="BH40" i="1"/>
  <c r="BJ39" i="1"/>
  <c r="BH39" i="1"/>
  <c r="BJ38" i="1"/>
  <c r="BH38" i="1"/>
  <c r="BJ37" i="1"/>
  <c r="BH37" i="1"/>
  <c r="BJ36" i="1"/>
  <c r="BH36" i="1"/>
  <c r="BJ35" i="1"/>
  <c r="BH35" i="1"/>
  <c r="BJ33" i="1"/>
  <c r="BH33" i="1"/>
  <c r="BJ32" i="1"/>
  <c r="BH32" i="1"/>
  <c r="BJ31" i="1"/>
  <c r="BH31" i="1"/>
  <c r="BJ30" i="1"/>
  <c r="BH30" i="1"/>
  <c r="BJ29" i="1"/>
  <c r="BH29" i="1"/>
  <c r="BJ28" i="1"/>
  <c r="BH28" i="1"/>
  <c r="BJ27" i="1"/>
  <c r="BH27" i="1"/>
  <c r="BJ26" i="1"/>
  <c r="BH26" i="1"/>
  <c r="BJ25" i="1"/>
  <c r="BH25" i="1"/>
  <c r="BJ24" i="1"/>
  <c r="BH24" i="1"/>
  <c r="BJ23" i="1"/>
  <c r="BH23" i="1"/>
  <c r="BJ22" i="1"/>
  <c r="BH22" i="1"/>
  <c r="BJ21" i="1"/>
  <c r="BH21" i="1"/>
  <c r="BJ20" i="1"/>
  <c r="BH20" i="1"/>
  <c r="BJ19" i="1"/>
  <c r="BH19" i="1"/>
  <c r="BJ18" i="1"/>
  <c r="BH18" i="1"/>
  <c r="BJ17" i="1"/>
  <c r="BH17" i="1"/>
  <c r="BJ16" i="1"/>
  <c r="BH16" i="1"/>
  <c r="BJ15" i="1"/>
  <c r="BH15" i="1"/>
  <c r="BJ14" i="1"/>
  <c r="BH14" i="1"/>
  <c r="BJ13" i="1"/>
  <c r="BH13" i="1"/>
  <c r="BJ12" i="1"/>
  <c r="BH12" i="1"/>
  <c r="BJ11" i="1"/>
  <c r="BH11" i="1"/>
  <c r="BJ10" i="1"/>
  <c r="BH10" i="1"/>
  <c r="BD48" i="1"/>
  <c r="BB48" i="1"/>
  <c r="BA48" i="1"/>
  <c r="BE47" i="1"/>
  <c r="BC47" i="1"/>
  <c r="BE46" i="1"/>
  <c r="BC46" i="1"/>
  <c r="BE45" i="1"/>
  <c r="BC45" i="1"/>
  <c r="BE44" i="1"/>
  <c r="BC44" i="1"/>
  <c r="BE43" i="1"/>
  <c r="BC43" i="1"/>
  <c r="BE42" i="1"/>
  <c r="BC42" i="1"/>
  <c r="BE41" i="1"/>
  <c r="BC41" i="1"/>
  <c r="BE40" i="1"/>
  <c r="BC40" i="1"/>
  <c r="BE39" i="1"/>
  <c r="BC39" i="1"/>
  <c r="BE38" i="1"/>
  <c r="BC38" i="1"/>
  <c r="BE37" i="1"/>
  <c r="BC37" i="1"/>
  <c r="BE36" i="1"/>
  <c r="BC36" i="1"/>
  <c r="BE35" i="1"/>
  <c r="BC35" i="1"/>
  <c r="BE33" i="1"/>
  <c r="BC33" i="1"/>
  <c r="BE32" i="1"/>
  <c r="BC32" i="1"/>
  <c r="BE31" i="1"/>
  <c r="BC31" i="1"/>
  <c r="BE30" i="1"/>
  <c r="BC30" i="1"/>
  <c r="BE29" i="1"/>
  <c r="BC29" i="1"/>
  <c r="BE28" i="1"/>
  <c r="BC28" i="1"/>
  <c r="BE27" i="1"/>
  <c r="BC27" i="1"/>
  <c r="BE26" i="1"/>
  <c r="BC26" i="1"/>
  <c r="BE25" i="1"/>
  <c r="BC25" i="1"/>
  <c r="BE24" i="1"/>
  <c r="BC24" i="1"/>
  <c r="BE23" i="1"/>
  <c r="BC23" i="1"/>
  <c r="BE22" i="1"/>
  <c r="BC22" i="1"/>
  <c r="BE21" i="1"/>
  <c r="BC21" i="1"/>
  <c r="BE20" i="1"/>
  <c r="BC20" i="1"/>
  <c r="BE19" i="1"/>
  <c r="BC19" i="1"/>
  <c r="BE18" i="1"/>
  <c r="BC18" i="1"/>
  <c r="BE17" i="1"/>
  <c r="BC17" i="1"/>
  <c r="BE16" i="1"/>
  <c r="BC16" i="1"/>
  <c r="BE15" i="1"/>
  <c r="BC15" i="1"/>
  <c r="BE14" i="1"/>
  <c r="BC14" i="1"/>
  <c r="BE13" i="1"/>
  <c r="BC13" i="1"/>
  <c r="BE12" i="1"/>
  <c r="BC12" i="1"/>
  <c r="BE11" i="1"/>
  <c r="BC11" i="1"/>
  <c r="BE10" i="1"/>
  <c r="BC10" i="1"/>
  <c r="AY48" i="1"/>
  <c r="AW48" i="1"/>
  <c r="AV48" i="1"/>
  <c r="AZ47" i="1"/>
  <c r="AX47" i="1"/>
  <c r="AZ46" i="1"/>
  <c r="AX46" i="1"/>
  <c r="AZ45" i="1"/>
  <c r="AX45" i="1"/>
  <c r="AZ44" i="1"/>
  <c r="AX44" i="1"/>
  <c r="AZ43" i="1"/>
  <c r="AX43" i="1"/>
  <c r="AZ42" i="1"/>
  <c r="AX42" i="1"/>
  <c r="AZ41" i="1"/>
  <c r="AX41" i="1"/>
  <c r="AZ40" i="1"/>
  <c r="AX40" i="1"/>
  <c r="AZ39" i="1"/>
  <c r="AX39" i="1"/>
  <c r="AZ38" i="1"/>
  <c r="AX38" i="1"/>
  <c r="AZ37" i="1"/>
  <c r="AX37" i="1"/>
  <c r="AZ36" i="1"/>
  <c r="AX36" i="1"/>
  <c r="AZ35" i="1"/>
  <c r="AX35" i="1"/>
  <c r="AZ33" i="1"/>
  <c r="AX33" i="1"/>
  <c r="AZ32" i="1"/>
  <c r="AX32" i="1"/>
  <c r="AZ31" i="1"/>
  <c r="AX31" i="1"/>
  <c r="AZ30" i="1"/>
  <c r="AX30" i="1"/>
  <c r="AZ29" i="1"/>
  <c r="AX29" i="1"/>
  <c r="AZ28" i="1"/>
  <c r="AX28" i="1"/>
  <c r="AZ27" i="1"/>
  <c r="AX27" i="1"/>
  <c r="AZ26" i="1"/>
  <c r="AX26" i="1"/>
  <c r="AZ25" i="1"/>
  <c r="AX25" i="1"/>
  <c r="AZ24" i="1"/>
  <c r="AX24" i="1"/>
  <c r="AZ23" i="1"/>
  <c r="AX23" i="1"/>
  <c r="AZ22" i="1"/>
  <c r="AX22" i="1"/>
  <c r="AZ21" i="1"/>
  <c r="AX21" i="1"/>
  <c r="AZ20" i="1"/>
  <c r="AX20" i="1"/>
  <c r="AZ19" i="1"/>
  <c r="AX19" i="1"/>
  <c r="AZ18" i="1"/>
  <c r="AX18" i="1"/>
  <c r="AZ17" i="1"/>
  <c r="AX17" i="1"/>
  <c r="AZ16" i="1"/>
  <c r="AX16" i="1"/>
  <c r="AZ15" i="1"/>
  <c r="AX15" i="1"/>
  <c r="AZ14" i="1"/>
  <c r="AX14" i="1"/>
  <c r="AZ13" i="1"/>
  <c r="AX13" i="1"/>
  <c r="AZ12" i="1"/>
  <c r="AX12" i="1"/>
  <c r="AZ11" i="1"/>
  <c r="AX11" i="1"/>
  <c r="AZ10" i="1"/>
  <c r="AX10" i="1"/>
  <c r="AT48" i="1"/>
  <c r="AR48" i="1"/>
  <c r="AQ48" i="1"/>
  <c r="AU47" i="1"/>
  <c r="AS47" i="1"/>
  <c r="AU46" i="1"/>
  <c r="AS46" i="1"/>
  <c r="AU45" i="1"/>
  <c r="AS45" i="1"/>
  <c r="AU44" i="1"/>
  <c r="AS44" i="1"/>
  <c r="AU43" i="1"/>
  <c r="AS43" i="1"/>
  <c r="AU42" i="1"/>
  <c r="AS42" i="1"/>
  <c r="AU41" i="1"/>
  <c r="AS41" i="1"/>
  <c r="AU40" i="1"/>
  <c r="AS40" i="1"/>
  <c r="AU39" i="1"/>
  <c r="AS39" i="1"/>
  <c r="AU38" i="1"/>
  <c r="AS38" i="1"/>
  <c r="AU37" i="1"/>
  <c r="AS37" i="1"/>
  <c r="AU36" i="1"/>
  <c r="AS36" i="1"/>
  <c r="AU35" i="1"/>
  <c r="AS35" i="1"/>
  <c r="AU33" i="1"/>
  <c r="AS33" i="1"/>
  <c r="AU32" i="1"/>
  <c r="AS32" i="1"/>
  <c r="AU31" i="1"/>
  <c r="AS31" i="1"/>
  <c r="AU30" i="1"/>
  <c r="AS30" i="1"/>
  <c r="AU29" i="1"/>
  <c r="AS29" i="1"/>
  <c r="AU28" i="1"/>
  <c r="AS28" i="1"/>
  <c r="AU27" i="1"/>
  <c r="AS27" i="1"/>
  <c r="AU26" i="1"/>
  <c r="AS26" i="1"/>
  <c r="AU25" i="1"/>
  <c r="AS25" i="1"/>
  <c r="AU24" i="1"/>
  <c r="AS24" i="1"/>
  <c r="AU23" i="1"/>
  <c r="AS23" i="1"/>
  <c r="AU22" i="1"/>
  <c r="AS22" i="1"/>
  <c r="AU21" i="1"/>
  <c r="AS21" i="1"/>
  <c r="AU20" i="1"/>
  <c r="AS20" i="1"/>
  <c r="AU19" i="1"/>
  <c r="AS19" i="1"/>
  <c r="AU18" i="1"/>
  <c r="AS18" i="1"/>
  <c r="AU17" i="1"/>
  <c r="AS17" i="1"/>
  <c r="AU16" i="1"/>
  <c r="AS16" i="1"/>
  <c r="AU15" i="1"/>
  <c r="AS15" i="1"/>
  <c r="AU14" i="1"/>
  <c r="AS14" i="1"/>
  <c r="AU13" i="1"/>
  <c r="AS13" i="1"/>
  <c r="AU12" i="1"/>
  <c r="AS12" i="1"/>
  <c r="AU11" i="1"/>
  <c r="AS11" i="1"/>
  <c r="AU10" i="1"/>
  <c r="AS10" i="1"/>
  <c r="AO48" i="1"/>
  <c r="AM48" i="1"/>
  <c r="AL48" i="1"/>
  <c r="AP47" i="1"/>
  <c r="AN47" i="1"/>
  <c r="AP46" i="1"/>
  <c r="AN46" i="1"/>
  <c r="AP45" i="1"/>
  <c r="AN45" i="1"/>
  <c r="AP44" i="1"/>
  <c r="AN44" i="1"/>
  <c r="AP43" i="1"/>
  <c r="AN43" i="1"/>
  <c r="AP42" i="1"/>
  <c r="AN42" i="1"/>
  <c r="AP41" i="1"/>
  <c r="AN41" i="1"/>
  <c r="AP40" i="1"/>
  <c r="AN40" i="1"/>
  <c r="AP39" i="1"/>
  <c r="AN39" i="1"/>
  <c r="AP38" i="1"/>
  <c r="AN38" i="1"/>
  <c r="AP37" i="1"/>
  <c r="AN37" i="1"/>
  <c r="AP36" i="1"/>
  <c r="AN36" i="1"/>
  <c r="AP35" i="1"/>
  <c r="AN35" i="1"/>
  <c r="AP33" i="1"/>
  <c r="AN33" i="1"/>
  <c r="AP32" i="1"/>
  <c r="AN32" i="1"/>
  <c r="AP31" i="1"/>
  <c r="AN31" i="1"/>
  <c r="AP30" i="1"/>
  <c r="AN30" i="1"/>
  <c r="AP29" i="1"/>
  <c r="AN29" i="1"/>
  <c r="AP28" i="1"/>
  <c r="AN28" i="1"/>
  <c r="AP27" i="1"/>
  <c r="AN27" i="1"/>
  <c r="AP26" i="1"/>
  <c r="AN26" i="1"/>
  <c r="AP25" i="1"/>
  <c r="AN25" i="1"/>
  <c r="AP24" i="1"/>
  <c r="AN24" i="1"/>
  <c r="AP23" i="1"/>
  <c r="AN23" i="1"/>
  <c r="AP22" i="1"/>
  <c r="AN22" i="1"/>
  <c r="AP21" i="1"/>
  <c r="AN21" i="1"/>
  <c r="AP20" i="1"/>
  <c r="AN20" i="1"/>
  <c r="AP19" i="1"/>
  <c r="AN19" i="1"/>
  <c r="AP18" i="1"/>
  <c r="AN18" i="1"/>
  <c r="AP17" i="1"/>
  <c r="AN17" i="1"/>
  <c r="AP16" i="1"/>
  <c r="AN16" i="1"/>
  <c r="AP15" i="1"/>
  <c r="AN15" i="1"/>
  <c r="AP14" i="1"/>
  <c r="AN14" i="1"/>
  <c r="AP13" i="1"/>
  <c r="AN13" i="1"/>
  <c r="AP12" i="1"/>
  <c r="AN12" i="1"/>
  <c r="AP11" i="1"/>
  <c r="AN11" i="1"/>
  <c r="AP10" i="1"/>
  <c r="AN10" i="1"/>
  <c r="AE48" i="1"/>
  <c r="AC48" i="1"/>
  <c r="AB48" i="1"/>
  <c r="AF47" i="1"/>
  <c r="AD47" i="1"/>
  <c r="AF46" i="1"/>
  <c r="AD46" i="1"/>
  <c r="AF45" i="1"/>
  <c r="AD45" i="1"/>
  <c r="AF44" i="1"/>
  <c r="AD44" i="1"/>
  <c r="AF43" i="1"/>
  <c r="AD43" i="1"/>
  <c r="AF42" i="1"/>
  <c r="AD42" i="1"/>
  <c r="AF41" i="1"/>
  <c r="AD41" i="1"/>
  <c r="AF40" i="1"/>
  <c r="AD40" i="1"/>
  <c r="AF39" i="1"/>
  <c r="AD39" i="1"/>
  <c r="AF38" i="1"/>
  <c r="AD38" i="1"/>
  <c r="AF37" i="1"/>
  <c r="AD37" i="1"/>
  <c r="AF36" i="1"/>
  <c r="AD36" i="1"/>
  <c r="AF35" i="1"/>
  <c r="AD35" i="1"/>
  <c r="AF33" i="1"/>
  <c r="AD33" i="1"/>
  <c r="AF32" i="1"/>
  <c r="AD32" i="1"/>
  <c r="AF31" i="1"/>
  <c r="AD31" i="1"/>
  <c r="AF30" i="1"/>
  <c r="AD30" i="1"/>
  <c r="AF29" i="1"/>
  <c r="AD29" i="1"/>
  <c r="AF28" i="1"/>
  <c r="AD28" i="1"/>
  <c r="AF27" i="1"/>
  <c r="AD27" i="1"/>
  <c r="AF26" i="1"/>
  <c r="AD26" i="1"/>
  <c r="AF25" i="1"/>
  <c r="AD25" i="1"/>
  <c r="AF24" i="1"/>
  <c r="AD24" i="1"/>
  <c r="AF23" i="1"/>
  <c r="AD23" i="1"/>
  <c r="AF22" i="1"/>
  <c r="AD22" i="1"/>
  <c r="AF21" i="1"/>
  <c r="AD21" i="1"/>
  <c r="AF20" i="1"/>
  <c r="AD20" i="1"/>
  <c r="AF19" i="1"/>
  <c r="AD19" i="1"/>
  <c r="AF18" i="1"/>
  <c r="AD18" i="1"/>
  <c r="AF17" i="1"/>
  <c r="AD17" i="1"/>
  <c r="AF16" i="1"/>
  <c r="AD16" i="1"/>
  <c r="AF15" i="1"/>
  <c r="AD15" i="1"/>
  <c r="AF14" i="1"/>
  <c r="AD14" i="1"/>
  <c r="AF13" i="1"/>
  <c r="AD13" i="1"/>
  <c r="AF12" i="1"/>
  <c r="AD12" i="1"/>
  <c r="AF11" i="1"/>
  <c r="AD11" i="1"/>
  <c r="AF10" i="1"/>
  <c r="AD10" i="1"/>
  <c r="Z48" i="1"/>
  <c r="X48" i="1"/>
  <c r="W48" i="1"/>
  <c r="AA47" i="1"/>
  <c r="Y47" i="1"/>
  <c r="AA46" i="1"/>
  <c r="Y46" i="1"/>
  <c r="AA45" i="1"/>
  <c r="Y45" i="1"/>
  <c r="AA44" i="1"/>
  <c r="Y44" i="1"/>
  <c r="AA43" i="1"/>
  <c r="Y43" i="1"/>
  <c r="AA42" i="1"/>
  <c r="Y42" i="1"/>
  <c r="AA41" i="1"/>
  <c r="Y41" i="1"/>
  <c r="AA40" i="1"/>
  <c r="Y40" i="1"/>
  <c r="AA39" i="1"/>
  <c r="Y39" i="1"/>
  <c r="AA38" i="1"/>
  <c r="Y38" i="1"/>
  <c r="AA37" i="1"/>
  <c r="Y37" i="1"/>
  <c r="AA36" i="1"/>
  <c r="Y36" i="1"/>
  <c r="AA35" i="1"/>
  <c r="Y35" i="1"/>
  <c r="AA33" i="1"/>
  <c r="Y33" i="1"/>
  <c r="AA32" i="1"/>
  <c r="Y32" i="1"/>
  <c r="AA31" i="1"/>
  <c r="Y31" i="1"/>
  <c r="AA30" i="1"/>
  <c r="Y30" i="1"/>
  <c r="AA29" i="1"/>
  <c r="Y29" i="1"/>
  <c r="AA28" i="1"/>
  <c r="Y28" i="1"/>
  <c r="AA27" i="1"/>
  <c r="Y27" i="1"/>
  <c r="AA26" i="1"/>
  <c r="Y26" i="1"/>
  <c r="AA25" i="1"/>
  <c r="Y25" i="1"/>
  <c r="AA24" i="1"/>
  <c r="Y24" i="1"/>
  <c r="AA23" i="1"/>
  <c r="Y23" i="1"/>
  <c r="AA22" i="1"/>
  <c r="Y22" i="1"/>
  <c r="AA21" i="1"/>
  <c r="Y21" i="1"/>
  <c r="AA20" i="1"/>
  <c r="Y20" i="1"/>
  <c r="AA19" i="1"/>
  <c r="Y19" i="1"/>
  <c r="AA18" i="1"/>
  <c r="Y18" i="1"/>
  <c r="AA17" i="1"/>
  <c r="Y17" i="1"/>
  <c r="AA16" i="1"/>
  <c r="Y16" i="1"/>
  <c r="AA15" i="1"/>
  <c r="Y15" i="1"/>
  <c r="AA14" i="1"/>
  <c r="Y14" i="1"/>
  <c r="AA13" i="1"/>
  <c r="Y13" i="1"/>
  <c r="AA12" i="1"/>
  <c r="Y12" i="1"/>
  <c r="AA11" i="1"/>
  <c r="Y11" i="1"/>
  <c r="AA10" i="1"/>
  <c r="Y10" i="1"/>
  <c r="U48" i="1"/>
  <c r="S48" i="1"/>
  <c r="R48" i="1"/>
  <c r="V47" i="1"/>
  <c r="T47" i="1"/>
  <c r="V46" i="1"/>
  <c r="T46" i="1"/>
  <c r="V45" i="1"/>
  <c r="T45" i="1"/>
  <c r="V44" i="1"/>
  <c r="T44" i="1"/>
  <c r="V43" i="1"/>
  <c r="T43" i="1"/>
  <c r="V42" i="1"/>
  <c r="T42" i="1"/>
  <c r="V41" i="1"/>
  <c r="T41" i="1"/>
  <c r="V40" i="1"/>
  <c r="T40" i="1"/>
  <c r="V39" i="1"/>
  <c r="T39" i="1"/>
  <c r="V38" i="1"/>
  <c r="T38" i="1"/>
  <c r="V37" i="1"/>
  <c r="T37" i="1"/>
  <c r="V36" i="1"/>
  <c r="T36" i="1"/>
  <c r="V35" i="1"/>
  <c r="T35" i="1"/>
  <c r="V33" i="1"/>
  <c r="T33" i="1"/>
  <c r="V32" i="1"/>
  <c r="T32" i="1"/>
  <c r="V31" i="1"/>
  <c r="T31" i="1"/>
  <c r="V30" i="1"/>
  <c r="T30" i="1"/>
  <c r="V29" i="1"/>
  <c r="T29" i="1"/>
  <c r="V28" i="1"/>
  <c r="T28" i="1"/>
  <c r="V27" i="1"/>
  <c r="T27" i="1"/>
  <c r="V26" i="1"/>
  <c r="T26" i="1"/>
  <c r="V25" i="1"/>
  <c r="T25" i="1"/>
  <c r="V24" i="1"/>
  <c r="T24" i="1"/>
  <c r="V23" i="1"/>
  <c r="T23" i="1"/>
  <c r="V22" i="1"/>
  <c r="T22" i="1"/>
  <c r="V21" i="1"/>
  <c r="T21" i="1"/>
  <c r="V20" i="1"/>
  <c r="T20" i="1"/>
  <c r="V19" i="1"/>
  <c r="T19" i="1"/>
  <c r="V18" i="1"/>
  <c r="T18" i="1"/>
  <c r="V17" i="1"/>
  <c r="T17" i="1"/>
  <c r="V16" i="1"/>
  <c r="T16" i="1"/>
  <c r="V15" i="1"/>
  <c r="T15" i="1"/>
  <c r="V14" i="1"/>
  <c r="T14" i="1"/>
  <c r="V13" i="1"/>
  <c r="T13" i="1"/>
  <c r="V12" i="1"/>
  <c r="T12" i="1"/>
  <c r="V11" i="1"/>
  <c r="T11" i="1"/>
  <c r="V10" i="1"/>
  <c r="T10" i="1"/>
  <c r="P48" i="1"/>
  <c r="N48" i="1"/>
  <c r="M48" i="1"/>
  <c r="Q47" i="1"/>
  <c r="O47" i="1"/>
  <c r="Q46" i="1"/>
  <c r="O46" i="1"/>
  <c r="Q45" i="1"/>
  <c r="O45" i="1"/>
  <c r="Q44" i="1"/>
  <c r="O44" i="1"/>
  <c r="Q43" i="1"/>
  <c r="O43" i="1"/>
  <c r="Q42" i="1"/>
  <c r="O42" i="1"/>
  <c r="Q41" i="1"/>
  <c r="O41" i="1"/>
  <c r="Q40" i="1"/>
  <c r="O40" i="1"/>
  <c r="Q39" i="1"/>
  <c r="O39" i="1"/>
  <c r="Q38" i="1"/>
  <c r="O38" i="1"/>
  <c r="Q37" i="1"/>
  <c r="O37" i="1"/>
  <c r="Q36" i="1"/>
  <c r="O36" i="1"/>
  <c r="Q35" i="1"/>
  <c r="O35" i="1"/>
  <c r="Q33" i="1"/>
  <c r="O33" i="1"/>
  <c r="Q32" i="1"/>
  <c r="O32" i="1"/>
  <c r="Q31" i="1"/>
  <c r="O31" i="1"/>
  <c r="Q30" i="1"/>
  <c r="O30" i="1"/>
  <c r="Q29" i="1"/>
  <c r="O29" i="1"/>
  <c r="Q28" i="1"/>
  <c r="O28" i="1"/>
  <c r="Q27" i="1"/>
  <c r="O27" i="1"/>
  <c r="Q26" i="1"/>
  <c r="O26" i="1"/>
  <c r="Q25" i="1"/>
  <c r="O25" i="1"/>
  <c r="Q24" i="1"/>
  <c r="O24" i="1"/>
  <c r="Q23" i="1"/>
  <c r="O23" i="1"/>
  <c r="Q22" i="1"/>
  <c r="O22" i="1"/>
  <c r="Q21" i="1"/>
  <c r="O21" i="1"/>
  <c r="Q20" i="1"/>
  <c r="O20" i="1"/>
  <c r="Q19" i="1"/>
  <c r="O19" i="1"/>
  <c r="Q18" i="1"/>
  <c r="O18" i="1"/>
  <c r="Q17" i="1"/>
  <c r="O17" i="1"/>
  <c r="Q16" i="1"/>
  <c r="O16" i="1"/>
  <c r="Q15" i="1"/>
  <c r="O15" i="1"/>
  <c r="Q14" i="1"/>
  <c r="O14" i="1"/>
  <c r="Q13" i="1"/>
  <c r="O13" i="1"/>
  <c r="Q12" i="1"/>
  <c r="O12" i="1"/>
  <c r="Q11" i="1"/>
  <c r="O11" i="1"/>
  <c r="Q10" i="1"/>
  <c r="O10" i="1"/>
  <c r="BJ48" i="1" l="1"/>
  <c r="BH48" i="1"/>
  <c r="BE48" i="1"/>
  <c r="BC48" i="1"/>
  <c r="AZ48" i="1"/>
  <c r="AX48" i="1"/>
  <c r="AU48" i="1"/>
  <c r="AS48" i="1"/>
  <c r="AP48" i="1"/>
  <c r="AN48" i="1"/>
  <c r="AF48" i="1"/>
  <c r="Y48" i="1"/>
  <c r="AD48" i="1"/>
  <c r="V48" i="1"/>
  <c r="AA48" i="1"/>
  <c r="O48" i="1"/>
  <c r="T48" i="1"/>
  <c r="Q48" i="1"/>
  <c r="K48" i="1"/>
  <c r="I48" i="1"/>
  <c r="H48" i="1"/>
  <c r="L47" i="1"/>
  <c r="J47" i="1"/>
  <c r="L46" i="1"/>
  <c r="J46" i="1"/>
  <c r="L45" i="1"/>
  <c r="J45" i="1"/>
  <c r="L44" i="1"/>
  <c r="J44" i="1"/>
  <c r="L43" i="1"/>
  <c r="J43" i="1"/>
  <c r="L42" i="1"/>
  <c r="J42" i="1"/>
  <c r="L41" i="1"/>
  <c r="J41" i="1"/>
  <c r="L40" i="1"/>
  <c r="J40" i="1"/>
  <c r="L39" i="1"/>
  <c r="J39" i="1"/>
  <c r="L38" i="1"/>
  <c r="J38" i="1"/>
  <c r="L37" i="1"/>
  <c r="J37" i="1"/>
  <c r="L36" i="1"/>
  <c r="J36" i="1"/>
  <c r="L35" i="1"/>
  <c r="J35" i="1"/>
  <c r="L33" i="1"/>
  <c r="J33" i="1"/>
  <c r="L32" i="1"/>
  <c r="J32" i="1"/>
  <c r="L31" i="1"/>
  <c r="J31" i="1"/>
  <c r="L30" i="1"/>
  <c r="J30" i="1"/>
  <c r="L29" i="1"/>
  <c r="J29" i="1"/>
  <c r="L28" i="1"/>
  <c r="J28" i="1"/>
  <c r="L27" i="1"/>
  <c r="J27" i="1"/>
  <c r="L26" i="1"/>
  <c r="J26" i="1"/>
  <c r="L25" i="1"/>
  <c r="J25" i="1"/>
  <c r="L24" i="1"/>
  <c r="J24" i="1"/>
  <c r="L23" i="1"/>
  <c r="J23" i="1"/>
  <c r="L22" i="1"/>
  <c r="J22" i="1"/>
  <c r="L21" i="1"/>
  <c r="J21" i="1"/>
  <c r="L20" i="1"/>
  <c r="J20" i="1"/>
  <c r="L19" i="1"/>
  <c r="J19" i="1"/>
  <c r="L18" i="1"/>
  <c r="J18" i="1"/>
  <c r="L17" i="1"/>
  <c r="J17" i="1"/>
  <c r="L16" i="1"/>
  <c r="J16" i="1"/>
  <c r="L15" i="1"/>
  <c r="J15" i="1"/>
  <c r="L14" i="1"/>
  <c r="J14" i="1"/>
  <c r="L13" i="1"/>
  <c r="J13" i="1"/>
  <c r="L12" i="1"/>
  <c r="J12" i="1"/>
  <c r="L11" i="1"/>
  <c r="J11" i="1"/>
  <c r="L10" i="1"/>
  <c r="J10" i="1"/>
  <c r="D48" i="1"/>
  <c r="C48" i="1"/>
  <c r="AK47" i="1"/>
  <c r="AI47" i="1"/>
  <c r="AK46" i="1"/>
  <c r="AI46" i="1"/>
  <c r="AK45" i="1"/>
  <c r="AI45" i="1"/>
  <c r="AK44" i="1"/>
  <c r="AI44" i="1"/>
  <c r="AK43" i="1"/>
  <c r="AI43" i="1"/>
  <c r="AK42" i="1"/>
  <c r="AI42" i="1"/>
  <c r="AK41" i="1"/>
  <c r="AI41" i="1"/>
  <c r="AK40" i="1"/>
  <c r="AI40" i="1"/>
  <c r="AK39" i="1"/>
  <c r="AI39" i="1"/>
  <c r="AK38" i="1"/>
  <c r="AI38" i="1"/>
  <c r="AK37" i="1"/>
  <c r="AI37" i="1"/>
  <c r="AK36" i="1"/>
  <c r="AI36" i="1"/>
  <c r="AK35" i="1"/>
  <c r="AI35" i="1"/>
  <c r="AK33" i="1"/>
  <c r="AI33" i="1"/>
  <c r="AK32" i="1"/>
  <c r="AI32" i="1"/>
  <c r="AK31" i="1"/>
  <c r="AI31" i="1"/>
  <c r="AK30" i="1"/>
  <c r="AI30" i="1"/>
  <c r="AK29" i="1"/>
  <c r="AI29" i="1"/>
  <c r="AK28" i="1"/>
  <c r="AI28" i="1"/>
  <c r="AK27" i="1"/>
  <c r="AI27" i="1"/>
  <c r="AK26" i="1"/>
  <c r="AI26" i="1"/>
  <c r="AK25" i="1"/>
  <c r="AI25" i="1"/>
  <c r="AK24" i="1"/>
  <c r="AI24" i="1"/>
  <c r="AK23" i="1"/>
  <c r="AI23" i="1"/>
  <c r="AK22" i="1"/>
  <c r="AI22" i="1"/>
  <c r="AK21" i="1"/>
  <c r="AI21" i="1"/>
  <c r="AK20" i="1"/>
  <c r="AI20" i="1"/>
  <c r="AK19" i="1"/>
  <c r="AI19" i="1"/>
  <c r="AK18" i="1"/>
  <c r="AI18" i="1"/>
  <c r="AK17" i="1"/>
  <c r="AI17" i="1"/>
  <c r="AK16" i="1"/>
  <c r="AI16" i="1"/>
  <c r="AK15" i="1"/>
  <c r="AI15" i="1"/>
  <c r="AK14" i="1"/>
  <c r="AI14" i="1"/>
  <c r="AK13" i="1"/>
  <c r="AI13" i="1"/>
  <c r="AK12" i="1"/>
  <c r="AI12" i="1"/>
  <c r="AK11" i="1"/>
  <c r="AI11" i="1"/>
  <c r="AK10" i="1"/>
  <c r="AI10" i="1"/>
  <c r="L48" i="1" l="1"/>
  <c r="J48" i="1"/>
  <c r="AJ48" i="1"/>
  <c r="AH48" i="1"/>
  <c r="AG48" i="1"/>
  <c r="AK48" i="1" l="1"/>
  <c r="AI48" i="1"/>
  <c r="F48" i="1" l="1"/>
  <c r="E45" i="1"/>
  <c r="G45" i="1"/>
  <c r="G23" i="1"/>
  <c r="E23" i="1"/>
  <c r="G41" i="1"/>
  <c r="E41" i="1"/>
  <c r="E12" i="1"/>
  <c r="G12" i="1"/>
  <c r="G46" i="1"/>
  <c r="E46" i="1"/>
  <c r="G10" i="1"/>
  <c r="E10" i="1"/>
  <c r="G16" i="1"/>
  <c r="E16" i="1"/>
  <c r="E42" i="1"/>
  <c r="G42" i="1"/>
  <c r="E14" i="1"/>
  <c r="G14" i="1"/>
  <c r="G40" i="1"/>
  <c r="E40" i="1"/>
  <c r="G25" i="1"/>
  <c r="E25" i="1"/>
  <c r="G43" i="1"/>
  <c r="E43" i="1"/>
  <c r="G31" i="1"/>
  <c r="E31" i="1"/>
  <c r="G17" i="1"/>
  <c r="E17" i="1"/>
  <c r="G33" i="1"/>
  <c r="E33" i="1"/>
  <c r="E32" i="1"/>
  <c r="G32" i="1"/>
  <c r="G39" i="1"/>
  <c r="E39" i="1"/>
  <c r="G22" i="1"/>
  <c r="E22" i="1"/>
  <c r="G38" i="1"/>
  <c r="E38" i="1"/>
  <c r="G29" i="1"/>
  <c r="E29" i="1"/>
  <c r="G28" i="1"/>
  <c r="E28" i="1"/>
  <c r="E30" i="1"/>
  <c r="G30" i="1"/>
  <c r="G47" i="1"/>
  <c r="E47" i="1"/>
  <c r="E36" i="1"/>
  <c r="G36" i="1"/>
  <c r="G19" i="1"/>
  <c r="E19" i="1"/>
  <c r="G26" i="1"/>
  <c r="E26" i="1"/>
  <c r="E15" i="1"/>
  <c r="G15" i="1"/>
  <c r="E44" i="1"/>
  <c r="G44" i="1"/>
  <c r="E27" i="1"/>
  <c r="G27" i="1"/>
  <c r="E11" i="1"/>
  <c r="G11" i="1"/>
  <c r="E37" i="1"/>
  <c r="G37" i="1"/>
  <c r="E13" i="1"/>
  <c r="G13" i="1"/>
  <c r="G20" i="1"/>
  <c r="E20" i="1"/>
  <c r="E35" i="1"/>
  <c r="G35" i="1"/>
  <c r="E18" i="1"/>
  <c r="G18" i="1"/>
  <c r="E21" i="1"/>
  <c r="G21" i="1"/>
  <c r="G24" i="1"/>
  <c r="E24" i="1"/>
  <c r="E48" i="1" l="1"/>
  <c r="G48" i="1"/>
</calcChain>
</file>

<file path=xl/sharedStrings.xml><?xml version="1.0" encoding="utf-8"?>
<sst xmlns="http://schemas.openxmlformats.org/spreadsheetml/2006/main" count="129" uniqueCount="51">
  <si>
    <t>STATE CD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</si>
  <si>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</si>
  <si>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</si>
  <si>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</si>
  <si>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</si>
  <si>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</si>
  <si>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</si>
  <si>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</si>
  <si>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</si>
  <si>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</si>
  <si>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</si>
  <si>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</si>
  <si>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</si>
  <si>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</si>
  <si>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</si>
  <si>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</si>
  <si>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</si>
  <si>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</si>
  <si>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</si>
  <si>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</si>
  <si>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</si>
  <si>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</si>
  <si>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</si>
  <si>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</si>
  <si>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</si>
  <si>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</si>
  <si>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</si>
  <si>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</si>
  <si>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</si>
  <si>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</si>
  <si>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</si>
  <si>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Dadra and Nagar Haveli</t>
  </si>
  <si>
    <t>Maharashtra</t>
  </si>
  <si>
    <t>Karnataka</t>
  </si>
  <si>
    <t>Goa</t>
  </si>
  <si>
    <t>Lakshadweep</t>
  </si>
  <si>
    <t>Kerala</t>
  </si>
  <si>
    <t>Tamil Nadu</t>
  </si>
  <si>
    <t>Puducherry</t>
  </si>
  <si>
    <t>Andaman and Nicobar Islands</t>
  </si>
  <si>
    <t>Telangana</t>
  </si>
  <si>
    <t>Andhra Pradesh</t>
  </si>
  <si>
    <t>Ladakh</t>
  </si>
  <si>
    <t>Other Territory</t>
  </si>
  <si>
    <t>Total</t>
  </si>
  <si>
    <t>*  State Code 97 represents  territories other than States/UTs</t>
  </si>
  <si>
    <t>STATE WISE RETURN PERIOD WISE GSTR-3B FILING SUMMARY</t>
  </si>
  <si>
    <t>-</t>
  </si>
  <si>
    <t>FINANCIAL YEAR 2024-2025</t>
  </si>
  <si>
    <t>Data Considered upto 31st Jan 20256</t>
  </si>
  <si>
    <t>Filing %age as on 31st Jan 20256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</si>
</sst>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/>
    <xf numFmtId="165" fontId="3" fillId="3" borderId="1" xfId="0" applyNumberFormat="1" applyFont="1" applyFill="1" applyBorder="1"/>
    <xf numFmtId="10" fontId="3" fillId="3" borderId="1" xfId="1" applyNumberFormat="1" applyFont="1" applyFill="1" applyBorder="1"/>
    <xf numFmtId="165" fontId="0" fillId="0" borderId="1" xfId="0" applyNumberFormat="1" applyBorder="1"/>
    <xf numFmtId="165" fontId="0" fillId="0" borderId="1" xfId="0" applyNumberFormat="1" applyBorder="1" applyAlignment="1">
      <alignment horizontal="right" vertical="center" wrapText="1"/>
    </xf>
    <xf numFmtId="165" fontId="2" fillId="2" borderId="1" xfId="2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right" vertical="center" wrapText="1"/>
    </xf>
    <xf numFmtId="165" fontId="6" fillId="5" borderId="1" xfId="0" applyNumberFormat="1" applyFont="1" applyFill="1" applyBorder="1" applyAlignment="1">
      <alignment horizontal="right" vertical="center" wrapText="1"/>
    </xf>
    <xf numFmtId="165" fontId="7" fillId="4" borderId="1" xfId="0" applyNumberFormat="1" applyFont="1" applyFill="1" applyBorder="1"/>
    <xf numFmtId="10" fontId="7" fillId="4" borderId="1" xfId="1" applyNumberFormat="1" applyFont="1" applyFill="1" applyBorder="1"/>
    <xf numFmtId="165" fontId="1" fillId="0" borderId="1" xfId="0" applyNumberFormat="1" applyFont="1" applyBorder="1"/>
    <xf numFmtId="166" fontId="0" fillId="0" borderId="1" xfId="10" applyNumberFormat="1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0" xfId="0" applyFont="1" applyFill="1"/>
    <xf numFmtId="165" fontId="3" fillId="0" borderId="1" xfId="0" applyNumberFormat="1" applyFont="1" applyBorder="1"/>
    <xf numFmtId="10" fontId="3" fillId="0" borderId="1" xfId="1" applyNumberFormat="1" applyFont="1" applyFill="1" applyBorder="1"/>
    <xf numFmtId="0" fontId="2" fillId="2" borderId="0" xfId="0" applyFont="1" applyFill="1"/>
    <xf numFmtId="17" fontId="2" fillId="2" borderId="2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5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1">
    <cellStyle name="Comma" xfId="10" builtinId="3"/>
    <cellStyle name="Comma 2" xfId="2" xr:uid="{00000000-0005-0000-0000-000001000000}"/>
    <cellStyle name="Comma 2 2" xfId="8" xr:uid="{00000000-0005-0000-0000-000002000000}"/>
    <cellStyle name="Comma 2 3" xfId="5" xr:uid="{00000000-0005-0000-0000-000003000000}"/>
    <cellStyle name="Comma 3" xfId="7" xr:uid="{00000000-0005-0000-0000-000004000000}"/>
    <cellStyle name="Normal" xfId="0" builtinId="0"/>
    <cellStyle name="Normal 2" xfId="6" xr:uid="{00000000-0005-0000-0000-000006000000}"/>
    <cellStyle name="Normal 2 2" xfId="9" xr:uid="{00000000-0005-0000-0000-000007000000}"/>
    <cellStyle name="Normal 3" xfId="3" xr:uid="{00000000-0005-0000-0000-000008000000}"/>
    <cellStyle name="Percent" xfId="1" builtinId="5"/>
    <cellStyle name="Percent 2" xfId="4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J61"/>
  <sheetViews>
    <sheetView tabSelected="1" zoomScale="56" zoomScaleNormal="70" workbookViewId="0">
      <selection activeCell="A48" sqref="A48:B48"/>
    </sheetView>
  </sheetViews>
  <sheetFormatPr defaultColWidth="8.77734375" defaultRowHeight="14.4" x14ac:dyDescent="0.3"/>
  <cols>
    <col min="2" max="2" width="29.77734375" customWidth="1"/>
    <col min="3" max="62" width="18.44140625" customWidth="1"/>
  </cols>
  <sheetData>
    <row r="1" spans="1:62" ht="15.6" x14ac:dyDescent="0.3">
      <c r="A1" s="22" t="s">
        <v>46</v>
      </c>
      <c r="B1" s="22"/>
      <c r="C1" s="22"/>
      <c r="D1" s="2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spans="1:62" ht="15.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spans="1:62" ht="15.6" x14ac:dyDescent="0.3">
      <c r="A3" s="26" t="s">
        <v>48</v>
      </c>
      <c r="B3" s="2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4" spans="1:62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</row>
    <row r="5" spans="1:62" ht="15.6" x14ac:dyDescent="0.3">
      <c r="A5" s="22" t="s">
        <v>49</v>
      </c>
      <c r="B5" s="22"/>
      <c r="C5" s="22"/>
      <c r="D5" s="2"/>
      <c r="E5" s="2"/>
      <c r="F5" s="2"/>
      <c r="G5" s="2"/>
      <c r="H5" s="2"/>
      <c r="I5" s="2"/>
      <c r="J5" s="1"/>
      <c r="K5" s="1"/>
      <c r="L5" s="1"/>
      <c r="M5" s="2"/>
      <c r="N5" s="2"/>
      <c r="O5" s="1"/>
      <c r="P5" s="1"/>
      <c r="Q5" s="1"/>
      <c r="R5" s="2"/>
      <c r="S5" s="2"/>
      <c r="T5" s="1"/>
      <c r="U5" s="1"/>
      <c r="V5" s="1"/>
      <c r="W5" s="2"/>
      <c r="X5" s="2"/>
      <c r="Y5" s="1"/>
      <c r="Z5" s="1"/>
      <c r="AA5" s="1"/>
      <c r="AB5" s="2"/>
      <c r="AC5" s="2"/>
      <c r="AD5" s="1"/>
      <c r="AE5" s="1"/>
      <c r="AF5" s="1"/>
      <c r="AG5" s="2"/>
      <c r="AH5" s="2"/>
      <c r="AI5" s="1"/>
      <c r="AJ5" s="1"/>
      <c r="AK5" s="1"/>
      <c r="AL5" s="2"/>
      <c r="AM5" s="2"/>
      <c r="AN5" s="1"/>
      <c r="AO5" s="1"/>
      <c r="AP5" s="1"/>
      <c r="AQ5" s="2"/>
      <c r="AR5" s="2"/>
      <c r="AS5" s="1"/>
      <c r="AT5" s="1"/>
      <c r="AU5" s="1"/>
      <c r="AV5" s="2"/>
      <c r="AW5" s="2"/>
      <c r="AX5" s="1"/>
      <c r="AY5" s="1"/>
      <c r="AZ5" s="1"/>
      <c r="BA5" s="2"/>
      <c r="BB5" s="2"/>
      <c r="BC5" s="1"/>
      <c r="BD5" s="1"/>
      <c r="BE5" s="1"/>
      <c r="BF5" s="2"/>
      <c r="BG5" s="2"/>
      <c r="BH5" s="1"/>
      <c r="BI5" s="1"/>
      <c r="BJ5" s="1"/>
    </row>
    <row r="6" spans="1:62" ht="15.6" x14ac:dyDescent="0.3">
      <c r="A6" s="1"/>
      <c r="B6" s="1"/>
      <c r="C6" s="1"/>
      <c r="D6" s="2"/>
      <c r="E6" s="2"/>
      <c r="F6" s="2"/>
      <c r="G6" s="2"/>
      <c r="H6" s="2"/>
      <c r="I6" s="2"/>
      <c r="J6" s="1"/>
      <c r="K6" s="1"/>
      <c r="L6" s="1"/>
      <c r="M6" s="2"/>
      <c r="N6" s="2"/>
      <c r="O6" s="1"/>
      <c r="P6" s="1"/>
      <c r="Q6" s="1"/>
      <c r="R6" s="2"/>
      <c r="S6" s="2"/>
      <c r="T6" s="1"/>
      <c r="U6" s="1"/>
      <c r="V6" s="1"/>
      <c r="W6" s="2"/>
      <c r="X6" s="2"/>
      <c r="Y6" s="1"/>
      <c r="Z6" s="1"/>
      <c r="AA6" s="1"/>
      <c r="AB6" s="2"/>
      <c r="AC6" s="2"/>
      <c r="AD6" s="1"/>
      <c r="AE6" s="1"/>
      <c r="AF6" s="1"/>
      <c r="AG6" s="2"/>
      <c r="AH6" s="2"/>
      <c r="AI6" s="1"/>
      <c r="AJ6" s="1"/>
      <c r="AK6" s="1"/>
      <c r="AL6" s="2"/>
      <c r="AM6" s="2"/>
      <c r="AN6" s="1"/>
      <c r="AO6" s="1"/>
      <c r="AP6" s="1"/>
      <c r="AQ6" s="2"/>
      <c r="AR6" s="2"/>
      <c r="AS6" s="1"/>
      <c r="AT6" s="1"/>
      <c r="AU6" s="1"/>
      <c r="AV6" s="2"/>
      <c r="AW6" s="2"/>
      <c r="AX6" s="1"/>
      <c r="AY6" s="1"/>
      <c r="AZ6" s="1"/>
      <c r="BA6" s="2"/>
      <c r="BB6" s="2"/>
      <c r="BC6" s="1"/>
      <c r="BD6" s="1"/>
      <c r="BE6" s="1"/>
      <c r="BF6" s="2"/>
      <c r="BG6" s="2"/>
      <c r="BH6" s="1"/>
      <c r="BI6" s="1"/>
      <c r="BJ6" s="1"/>
    </row>
    <row r="7" spans="1:62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s="15" customFormat="1" ht="15.6" x14ac:dyDescent="0.3">
      <c r="A8" s="28" t="s">
        <v>0</v>
      </c>
      <c r="B8" s="29" t="s">
        <v>1</v>
      </c>
      <c r="C8" s="23">
        <v>45383</v>
      </c>
      <c r="D8" s="24"/>
      <c r="E8" s="24"/>
      <c r="F8" s="24"/>
      <c r="G8" s="25"/>
      <c r="H8" s="23">
        <v>45413</v>
      </c>
      <c r="I8" s="24"/>
      <c r="J8" s="24"/>
      <c r="K8" s="24"/>
      <c r="L8" s="25"/>
      <c r="M8" s="23">
        <v>45444</v>
      </c>
      <c r="N8" s="24"/>
      <c r="O8" s="24"/>
      <c r="P8" s="24"/>
      <c r="Q8" s="25"/>
      <c r="R8" s="23">
        <v>45474</v>
      </c>
      <c r="S8" s="24"/>
      <c r="T8" s="24"/>
      <c r="U8" s="24"/>
      <c r="V8" s="25"/>
      <c r="W8" s="23">
        <v>45505</v>
      </c>
      <c r="X8" s="24"/>
      <c r="Y8" s="24"/>
      <c r="Z8" s="24"/>
      <c r="AA8" s="25"/>
      <c r="AB8" s="23">
        <v>45536</v>
      </c>
      <c r="AC8" s="24"/>
      <c r="AD8" s="24"/>
      <c r="AE8" s="24"/>
      <c r="AF8" s="25"/>
      <c r="AG8" s="23">
        <v>45566</v>
      </c>
      <c r="AH8" s="24"/>
      <c r="AI8" s="24"/>
      <c r="AJ8" s="24"/>
      <c r="AK8" s="25"/>
      <c r="AL8" s="23">
        <v>45597</v>
      </c>
      <c r="AM8" s="24"/>
      <c r="AN8" s="24"/>
      <c r="AO8" s="24"/>
      <c r="AP8" s="25"/>
      <c r="AQ8" s="23">
        <v>45627</v>
      </c>
      <c r="AR8" s="24"/>
      <c r="AS8" s="24"/>
      <c r="AT8" s="24"/>
      <c r="AU8" s="25"/>
      <c r="AV8" s="23">
        <v>45658</v>
      </c>
      <c r="AW8" s="24"/>
      <c r="AX8" s="24"/>
      <c r="AY8" s="24"/>
      <c r="AZ8" s="25"/>
      <c r="BA8" s="23">
        <v>45689</v>
      </c>
      <c r="BB8" s="24"/>
      <c r="BC8" s="24"/>
      <c r="BD8" s="24"/>
      <c r="BE8" s="25"/>
      <c r="BF8" s="23">
        <v>45717</v>
      </c>
      <c r="BG8" s="24"/>
      <c r="BH8" s="24"/>
      <c r="BI8" s="24"/>
      <c r="BJ8" s="25"/>
    </row>
    <row r="9" spans="1:62" s="15" customFormat="1" ht="46.8" x14ac:dyDescent="0.3">
      <c r="A9" s="28"/>
      <c r="B9" s="29"/>
      <c r="C9" s="16" t="s">
        <v>2</v>
      </c>
      <c r="D9" s="16" t="s">
        <v>3</v>
      </c>
      <c r="E9" s="16" t="s">
        <v>4</v>
      </c>
      <c r="F9" s="8" t="s">
        <v>5</v>
      </c>
      <c r="G9" s="16" t="s">
        <v>50</v>
      </c>
      <c r="H9" s="16" t="s">
        <v>2</v>
      </c>
      <c r="I9" s="16" t="s">
        <v>3</v>
      </c>
      <c r="J9" s="16" t="s">
        <v>4</v>
      </c>
      <c r="K9" s="8" t="s">
        <v>5</v>
      </c>
      <c r="L9" s="16" t="s">
        <v>50</v>
      </c>
      <c r="M9" s="16" t="s">
        <v>2</v>
      </c>
      <c r="N9" s="16" t="s">
        <v>3</v>
      </c>
      <c r="O9" s="16" t="s">
        <v>4</v>
      </c>
      <c r="P9" s="8" t="s">
        <v>5</v>
      </c>
      <c r="Q9" s="16" t="s">
        <v>50</v>
      </c>
      <c r="R9" s="16" t="s">
        <v>2</v>
      </c>
      <c r="S9" s="16" t="s">
        <v>3</v>
      </c>
      <c r="T9" s="16" t="s">
        <v>4</v>
      </c>
      <c r="U9" s="8" t="s">
        <v>5</v>
      </c>
      <c r="V9" s="16" t="s">
        <v>50</v>
      </c>
      <c r="W9" s="16" t="s">
        <v>2</v>
      </c>
      <c r="X9" s="16" t="s">
        <v>3</v>
      </c>
      <c r="Y9" s="16" t="s">
        <v>4</v>
      </c>
      <c r="Z9" s="8" t="s">
        <v>5</v>
      </c>
      <c r="AA9" s="16" t="s">
        <v>50</v>
      </c>
      <c r="AB9" s="16" t="s">
        <v>2</v>
      </c>
      <c r="AC9" s="16" t="s">
        <v>3</v>
      </c>
      <c r="AD9" s="16" t="s">
        <v>4</v>
      </c>
      <c r="AE9" s="8" t="s">
        <v>5</v>
      </c>
      <c r="AF9" s="16" t="s">
        <v>50</v>
      </c>
      <c r="AG9" s="16" t="s">
        <v>2</v>
      </c>
      <c r="AH9" s="16" t="s">
        <v>3</v>
      </c>
      <c r="AI9" s="16" t="s">
        <v>4</v>
      </c>
      <c r="AJ9" s="8" t="s">
        <v>5</v>
      </c>
      <c r="AK9" s="16" t="s">
        <v>50</v>
      </c>
      <c r="AL9" s="16" t="s">
        <v>2</v>
      </c>
      <c r="AM9" s="16" t="s">
        <v>3</v>
      </c>
      <c r="AN9" s="16" t="s">
        <v>4</v>
      </c>
      <c r="AO9" s="8" t="s">
        <v>5</v>
      </c>
      <c r="AP9" s="16" t="s">
        <v>50</v>
      </c>
      <c r="AQ9" s="16" t="s">
        <v>2</v>
      </c>
      <c r="AR9" s="16" t="s">
        <v>3</v>
      </c>
      <c r="AS9" s="16" t="s">
        <v>4</v>
      </c>
      <c r="AT9" s="8" t="s">
        <v>5</v>
      </c>
      <c r="AU9" s="16" t="s">
        <v>50</v>
      </c>
      <c r="AV9" s="16" t="s">
        <v>2</v>
      </c>
      <c r="AW9" s="16" t="s">
        <v>3</v>
      </c>
      <c r="AX9" s="16" t="s">
        <v>4</v>
      </c>
      <c r="AY9" s="8" t="s">
        <v>5</v>
      </c>
      <c r="AZ9" s="16" t="s">
        <v>50</v>
      </c>
      <c r="BA9" s="16" t="s">
        <v>2</v>
      </c>
      <c r="BB9" s="16" t="s">
        <v>3</v>
      </c>
      <c r="BC9" s="16" t="s">
        <v>4</v>
      </c>
      <c r="BD9" s="8" t="s">
        <v>5</v>
      </c>
      <c r="BE9" s="16" t="s">
        <v>50</v>
      </c>
      <c r="BF9" s="16" t="s">
        <v>2</v>
      </c>
      <c r="BG9" s="16" t="s">
        <v>3</v>
      </c>
      <c r="BH9" s="16" t="s">
        <v>4</v>
      </c>
      <c r="BI9" s="8" t="s">
        <v>5</v>
      </c>
      <c r="BJ9" s="16" t="s">
        <v>50</v>
      </c>
    </row>
    <row r="10" spans="1:62" x14ac:dyDescent="0.3">
      <c r="A10" s="17">
        <v>1</v>
      </c>
      <c r="B10" s="3" t="s">
        <v>6</v>
      </c>
      <c r="C10" s="7">
        <v>72910</v>
      </c>
      <c r="D10" s="6">
        <v>57390</v>
      </c>
      <c r="E10" s="4">
        <f>F10-D10</f>
        <v>15623</v>
      </c>
      <c r="F10" s="13">
        <v>73013</v>
      </c>
      <c r="G10" s="5">
        <f>F10/C10</f>
        <v>1.0014127005897682</v>
      </c>
      <c r="H10" s="7">
        <v>74548</v>
      </c>
      <c r="I10" s="6">
        <v>58556</v>
      </c>
      <c r="J10" s="4">
        <f>K10-I10</f>
        <v>15528</v>
      </c>
      <c r="K10" s="13">
        <v>74084</v>
      </c>
      <c r="L10" s="5">
        <f>K10/H10</f>
        <v>0.99377582228899497</v>
      </c>
      <c r="M10" s="7">
        <v>129395</v>
      </c>
      <c r="N10" s="6">
        <v>103977</v>
      </c>
      <c r="O10" s="4">
        <f>P10-N10</f>
        <v>25037</v>
      </c>
      <c r="P10" s="6">
        <v>129014</v>
      </c>
      <c r="Q10" s="5">
        <f>P10/M10</f>
        <v>0.99705552764789984</v>
      </c>
      <c r="R10" s="7">
        <v>72583</v>
      </c>
      <c r="S10" s="6">
        <v>58828</v>
      </c>
      <c r="T10" s="4">
        <f>U10-S10</f>
        <v>14206</v>
      </c>
      <c r="U10" s="13">
        <v>73034</v>
      </c>
      <c r="V10" s="5">
        <f>U10/R10</f>
        <v>1.0062135761817506</v>
      </c>
      <c r="W10" s="7">
        <v>74384</v>
      </c>
      <c r="X10" s="6">
        <v>57957</v>
      </c>
      <c r="Y10" s="4">
        <f>Z10-X10</f>
        <v>15662</v>
      </c>
      <c r="Z10" s="13">
        <v>73619</v>
      </c>
      <c r="AA10" s="5">
        <f>Z10/W10</f>
        <v>0.98971553022155301</v>
      </c>
      <c r="AB10" s="7">
        <v>130621</v>
      </c>
      <c r="AC10" s="7">
        <v>103553</v>
      </c>
      <c r="AD10" s="4">
        <f>AE10-AC10</f>
        <v>26282</v>
      </c>
      <c r="AE10" s="6">
        <v>129835</v>
      </c>
      <c r="AF10" s="5">
        <f>AE10/AB10</f>
        <v>0.99398259085445684</v>
      </c>
      <c r="AG10" s="7">
        <v>72721</v>
      </c>
      <c r="AH10" s="7">
        <v>58214</v>
      </c>
      <c r="AI10" s="4">
        <f>AJ10-AH10</f>
        <v>14437</v>
      </c>
      <c r="AJ10" s="6">
        <v>72651</v>
      </c>
      <c r="AK10" s="5">
        <f>AJ10/AG10</f>
        <v>0.99903741697721427</v>
      </c>
      <c r="AL10" s="7">
        <v>74187</v>
      </c>
      <c r="AM10" s="7">
        <v>60685</v>
      </c>
      <c r="AN10" s="4">
        <f>AO10-AM10</f>
        <v>13011</v>
      </c>
      <c r="AO10" s="6">
        <v>73696</v>
      </c>
      <c r="AP10" s="5">
        <f>AO10/AL10</f>
        <v>0.99338158976640112</v>
      </c>
      <c r="AQ10" s="7">
        <v>132270</v>
      </c>
      <c r="AR10" s="7">
        <v>110480</v>
      </c>
      <c r="AS10" s="4">
        <f>AT10-AR10</f>
        <v>21419</v>
      </c>
      <c r="AT10" s="6">
        <v>131899</v>
      </c>
      <c r="AU10" s="5">
        <f>AT10/AQ10</f>
        <v>0.99719513117108949</v>
      </c>
      <c r="AV10" s="7">
        <v>73561</v>
      </c>
      <c r="AW10" s="7">
        <v>60749</v>
      </c>
      <c r="AX10" s="4">
        <f>AY10-AW10</f>
        <v>12759</v>
      </c>
      <c r="AY10" s="6">
        <v>73508</v>
      </c>
      <c r="AZ10" s="5">
        <f>AY10/AV10</f>
        <v>0.99927950952270905</v>
      </c>
      <c r="BA10" s="7">
        <v>75582</v>
      </c>
      <c r="BB10" s="7">
        <v>61965</v>
      </c>
      <c r="BC10" s="4">
        <f>BD10-BB10</f>
        <v>12424</v>
      </c>
      <c r="BD10" s="6">
        <v>74389</v>
      </c>
      <c r="BE10" s="5">
        <f>BD10/BA10</f>
        <v>0.98421581858114371</v>
      </c>
      <c r="BF10" s="7">
        <v>134150</v>
      </c>
      <c r="BG10" s="7">
        <v>100467</v>
      </c>
      <c r="BH10" s="4">
        <f>BI10-BG10</f>
        <v>32813</v>
      </c>
      <c r="BI10" s="6">
        <v>133280</v>
      </c>
      <c r="BJ10" s="5">
        <f>BI10/BF10</f>
        <v>0.99351472232575477</v>
      </c>
    </row>
    <row r="11" spans="1:62" x14ac:dyDescent="0.3">
      <c r="A11" s="17">
        <v>2</v>
      </c>
      <c r="B11" s="3" t="s">
        <v>7</v>
      </c>
      <c r="C11" s="7">
        <v>46541</v>
      </c>
      <c r="D11" s="6">
        <v>38238</v>
      </c>
      <c r="E11" s="4">
        <f t="shared" ref="E11:E33" si="0">F11-D11</f>
        <v>8220</v>
      </c>
      <c r="F11" s="13">
        <v>46458</v>
      </c>
      <c r="G11" s="5">
        <f t="shared" ref="G11:G33" si="1">F11/C11</f>
        <v>0.9982166262005544</v>
      </c>
      <c r="H11" s="7">
        <v>47616</v>
      </c>
      <c r="I11" s="6">
        <v>38997</v>
      </c>
      <c r="J11" s="4">
        <f t="shared" ref="J11:J33" si="2">K11-I11</f>
        <v>8117</v>
      </c>
      <c r="K11" s="13">
        <v>47114</v>
      </c>
      <c r="L11" s="5">
        <f t="shared" ref="L11:L33" si="3">K11/H11</f>
        <v>0.98945732526881724</v>
      </c>
      <c r="M11" s="7">
        <v>108402</v>
      </c>
      <c r="N11" s="6">
        <v>90958</v>
      </c>
      <c r="O11" s="4">
        <f t="shared" ref="O11:O33" si="4">P11-N11</f>
        <v>16756</v>
      </c>
      <c r="P11" s="6">
        <v>107714</v>
      </c>
      <c r="Q11" s="5">
        <f t="shared" ref="Q11:Q33" si="5">P11/M11</f>
        <v>0.99365325363000678</v>
      </c>
      <c r="R11" s="7">
        <v>46539</v>
      </c>
      <c r="S11" s="6">
        <v>38268</v>
      </c>
      <c r="T11" s="4">
        <f t="shared" ref="T11:T33" si="6">U11-S11</f>
        <v>8163</v>
      </c>
      <c r="U11" s="13">
        <v>46431</v>
      </c>
      <c r="V11" s="5">
        <f t="shared" ref="V11:V33" si="7">U11/R11</f>
        <v>0.99767936569328952</v>
      </c>
      <c r="W11" s="7">
        <v>48300</v>
      </c>
      <c r="X11" s="6">
        <v>38705</v>
      </c>
      <c r="Y11" s="4">
        <f t="shared" ref="Y11:Y33" si="8">Z11-X11</f>
        <v>8335</v>
      </c>
      <c r="Z11" s="13">
        <v>47040</v>
      </c>
      <c r="AA11" s="5">
        <f t="shared" ref="AA11:AA33" si="9">Z11/W11</f>
        <v>0.97391304347826091</v>
      </c>
      <c r="AB11" s="7">
        <v>109219</v>
      </c>
      <c r="AC11" s="7">
        <v>90282</v>
      </c>
      <c r="AD11" s="4">
        <f t="shared" ref="AD11:AD33" si="10">AE11-AC11</f>
        <v>18040</v>
      </c>
      <c r="AE11" s="6">
        <v>108322</v>
      </c>
      <c r="AF11" s="5">
        <f t="shared" ref="AF11:AF33" si="11">AE11/AB11</f>
        <v>0.99178714326261919</v>
      </c>
      <c r="AG11" s="7">
        <v>46763</v>
      </c>
      <c r="AH11" s="7">
        <v>38369</v>
      </c>
      <c r="AI11" s="4">
        <f t="shared" ref="AI11:AI47" si="12">AJ11-AH11</f>
        <v>8265</v>
      </c>
      <c r="AJ11" s="6">
        <v>46634</v>
      </c>
      <c r="AK11" s="5">
        <f t="shared" ref="AK11:AK33" si="13">AJ11/AG11</f>
        <v>0.99724140880610734</v>
      </c>
      <c r="AL11" s="7">
        <v>48206</v>
      </c>
      <c r="AM11" s="7">
        <v>39689</v>
      </c>
      <c r="AN11" s="4">
        <f t="shared" ref="AN11:AN33" si="14">AO11-AM11</f>
        <v>7470</v>
      </c>
      <c r="AO11" s="6">
        <v>47159</v>
      </c>
      <c r="AP11" s="5">
        <f t="shared" ref="AP11:AP33" si="15">AO11/AL11</f>
        <v>0.97828071194457122</v>
      </c>
      <c r="AQ11" s="7">
        <v>110196</v>
      </c>
      <c r="AR11" s="7">
        <v>94553</v>
      </c>
      <c r="AS11" s="4">
        <f t="shared" ref="AS11:AS33" si="16">AT11-AR11</f>
        <v>14967</v>
      </c>
      <c r="AT11" s="6">
        <v>109520</v>
      </c>
      <c r="AU11" s="5">
        <f t="shared" ref="AU11:AU33" si="17">AT11/AQ11</f>
        <v>0.99386547606083708</v>
      </c>
      <c r="AV11" s="7">
        <v>47206</v>
      </c>
      <c r="AW11" s="7">
        <v>39456</v>
      </c>
      <c r="AX11" s="4">
        <f t="shared" ref="AX11:AX33" si="18">AY11-AW11</f>
        <v>7503</v>
      </c>
      <c r="AY11" s="6">
        <v>46959</v>
      </c>
      <c r="AZ11" s="5">
        <f t="shared" ref="AZ11:AZ33" si="19">AY11/AV11</f>
        <v>0.99476761428631955</v>
      </c>
      <c r="BA11" s="7">
        <v>48813</v>
      </c>
      <c r="BB11" s="7">
        <v>40123</v>
      </c>
      <c r="BC11" s="4">
        <f t="shared" ref="BC11:BC33" si="20">BD11-BB11</f>
        <v>7355</v>
      </c>
      <c r="BD11" s="6">
        <v>47478</v>
      </c>
      <c r="BE11" s="5">
        <f t="shared" ref="BE11:BE33" si="21">BD11/BA11</f>
        <v>0.97265072828959498</v>
      </c>
      <c r="BF11" s="7">
        <v>111276</v>
      </c>
      <c r="BG11" s="7">
        <v>89549</v>
      </c>
      <c r="BH11" s="4">
        <f t="shared" ref="BH11:BH33" si="22">BI11-BG11</f>
        <v>20843</v>
      </c>
      <c r="BI11" s="6">
        <v>110392</v>
      </c>
      <c r="BJ11" s="5">
        <f t="shared" ref="BJ11:BJ33" si="23">BI11/BF11</f>
        <v>0.9920557892088141</v>
      </c>
    </row>
    <row r="12" spans="1:62" x14ac:dyDescent="0.3">
      <c r="A12" s="17">
        <v>3</v>
      </c>
      <c r="B12" s="3" t="s">
        <v>8</v>
      </c>
      <c r="C12" s="7">
        <v>177091</v>
      </c>
      <c r="D12" s="6">
        <v>148325</v>
      </c>
      <c r="E12" s="4">
        <f t="shared" si="0"/>
        <v>27411</v>
      </c>
      <c r="F12" s="13">
        <v>175736</v>
      </c>
      <c r="G12" s="5">
        <f t="shared" si="1"/>
        <v>0.99234856655617731</v>
      </c>
      <c r="H12" s="7">
        <v>181172</v>
      </c>
      <c r="I12" s="6">
        <v>152826</v>
      </c>
      <c r="J12" s="4">
        <f t="shared" si="2"/>
        <v>25270</v>
      </c>
      <c r="K12" s="13">
        <v>178096</v>
      </c>
      <c r="L12" s="5">
        <f t="shared" si="3"/>
        <v>0.98302165897600069</v>
      </c>
      <c r="M12" s="7">
        <v>363483</v>
      </c>
      <c r="N12" s="6">
        <v>304234</v>
      </c>
      <c r="O12" s="4">
        <f t="shared" si="4"/>
        <v>56093</v>
      </c>
      <c r="P12" s="6">
        <v>360327</v>
      </c>
      <c r="Q12" s="5">
        <f t="shared" si="5"/>
        <v>0.99131733808733835</v>
      </c>
      <c r="R12" s="7">
        <v>177513</v>
      </c>
      <c r="S12" s="6">
        <v>150120</v>
      </c>
      <c r="T12" s="4">
        <f t="shared" si="6"/>
        <v>26993</v>
      </c>
      <c r="U12" s="13">
        <v>177113</v>
      </c>
      <c r="V12" s="5">
        <f t="shared" si="7"/>
        <v>0.99774664390777013</v>
      </c>
      <c r="W12" s="7">
        <v>182324</v>
      </c>
      <c r="X12" s="6">
        <v>150072</v>
      </c>
      <c r="Y12" s="4">
        <f t="shared" si="8"/>
        <v>28656</v>
      </c>
      <c r="Z12" s="13">
        <v>178728</v>
      </c>
      <c r="AA12" s="5">
        <f t="shared" si="9"/>
        <v>0.98027686974836004</v>
      </c>
      <c r="AB12" s="7">
        <v>365690</v>
      </c>
      <c r="AC12" s="7">
        <v>301563</v>
      </c>
      <c r="AD12" s="4">
        <f t="shared" si="10"/>
        <v>60678</v>
      </c>
      <c r="AE12" s="6">
        <v>362241</v>
      </c>
      <c r="AF12" s="5">
        <f t="shared" si="11"/>
        <v>0.99056851431540371</v>
      </c>
      <c r="AG12" s="7">
        <v>180670</v>
      </c>
      <c r="AH12" s="7">
        <v>148377</v>
      </c>
      <c r="AI12" s="4">
        <f t="shared" si="12"/>
        <v>29949</v>
      </c>
      <c r="AJ12" s="6">
        <v>178326</v>
      </c>
      <c r="AK12" s="5">
        <f t="shared" si="13"/>
        <v>0.98702606962971162</v>
      </c>
      <c r="AL12" s="7">
        <v>181581</v>
      </c>
      <c r="AM12" s="7">
        <v>152863</v>
      </c>
      <c r="AN12" s="4">
        <f t="shared" si="14"/>
        <v>25604</v>
      </c>
      <c r="AO12" s="6">
        <v>178467</v>
      </c>
      <c r="AP12" s="5">
        <f t="shared" si="15"/>
        <v>0.98285062864506745</v>
      </c>
      <c r="AQ12" s="7">
        <v>363376</v>
      </c>
      <c r="AR12" s="7">
        <v>307880</v>
      </c>
      <c r="AS12" s="4">
        <f t="shared" si="16"/>
        <v>53927</v>
      </c>
      <c r="AT12" s="6">
        <v>361807</v>
      </c>
      <c r="AU12" s="5">
        <f t="shared" si="17"/>
        <v>0.99568215842543262</v>
      </c>
      <c r="AV12" s="7">
        <v>179534</v>
      </c>
      <c r="AW12" s="7">
        <v>152720</v>
      </c>
      <c r="AX12" s="4">
        <f t="shared" si="18"/>
        <v>25960</v>
      </c>
      <c r="AY12" s="6">
        <v>178680</v>
      </c>
      <c r="AZ12" s="5">
        <f t="shared" si="19"/>
        <v>0.99524324083460514</v>
      </c>
      <c r="BA12" s="7">
        <v>184469</v>
      </c>
      <c r="BB12" s="7">
        <v>155577</v>
      </c>
      <c r="BC12" s="4">
        <f t="shared" si="20"/>
        <v>26132</v>
      </c>
      <c r="BD12" s="6">
        <v>181709</v>
      </c>
      <c r="BE12" s="5">
        <f t="shared" si="21"/>
        <v>0.9850381364890578</v>
      </c>
      <c r="BF12" s="7">
        <v>368393</v>
      </c>
      <c r="BG12" s="7">
        <v>289963</v>
      </c>
      <c r="BH12" s="4">
        <f t="shared" si="22"/>
        <v>76622</v>
      </c>
      <c r="BI12" s="6">
        <v>366585</v>
      </c>
      <c r="BJ12" s="5">
        <f t="shared" si="23"/>
        <v>0.99509219773448465</v>
      </c>
    </row>
    <row r="13" spans="1:62" x14ac:dyDescent="0.3">
      <c r="A13" s="17">
        <v>4</v>
      </c>
      <c r="B13" s="3" t="s">
        <v>9</v>
      </c>
      <c r="C13" s="7">
        <v>17545</v>
      </c>
      <c r="D13" s="6">
        <v>14992</v>
      </c>
      <c r="E13" s="4">
        <f t="shared" si="0"/>
        <v>2591</v>
      </c>
      <c r="F13" s="13">
        <v>17583</v>
      </c>
      <c r="G13" s="5">
        <f t="shared" si="1"/>
        <v>1.0021658592191507</v>
      </c>
      <c r="H13" s="7">
        <v>181172</v>
      </c>
      <c r="I13" s="6">
        <v>15271</v>
      </c>
      <c r="J13" s="4">
        <f t="shared" si="2"/>
        <v>2405</v>
      </c>
      <c r="K13" s="13">
        <v>17676</v>
      </c>
      <c r="L13" s="5">
        <f t="shared" si="3"/>
        <v>9.7564745104099973E-2</v>
      </c>
      <c r="M13" s="7">
        <v>28677</v>
      </c>
      <c r="N13" s="6">
        <v>24289</v>
      </c>
      <c r="O13" s="4">
        <f t="shared" si="4"/>
        <v>4346</v>
      </c>
      <c r="P13" s="6">
        <v>28635</v>
      </c>
      <c r="Q13" s="5">
        <f t="shared" si="5"/>
        <v>0.99853541165393866</v>
      </c>
      <c r="R13" s="7">
        <v>17606</v>
      </c>
      <c r="S13" s="6">
        <v>15100</v>
      </c>
      <c r="T13" s="4">
        <f t="shared" si="6"/>
        <v>2518</v>
      </c>
      <c r="U13" s="13">
        <v>17618</v>
      </c>
      <c r="V13" s="5">
        <f t="shared" si="7"/>
        <v>1.0006815858230149</v>
      </c>
      <c r="W13" s="7">
        <v>17849</v>
      </c>
      <c r="X13" s="6">
        <v>15162</v>
      </c>
      <c r="Y13" s="4">
        <f t="shared" si="8"/>
        <v>2584</v>
      </c>
      <c r="Z13" s="13">
        <v>17746</v>
      </c>
      <c r="AA13" s="5">
        <f t="shared" si="9"/>
        <v>0.994229368592078</v>
      </c>
      <c r="AB13" s="7">
        <v>28890</v>
      </c>
      <c r="AC13" s="7">
        <v>24153</v>
      </c>
      <c r="AD13" s="4">
        <f t="shared" si="10"/>
        <v>4661</v>
      </c>
      <c r="AE13" s="6">
        <v>28814</v>
      </c>
      <c r="AF13" s="5">
        <f t="shared" si="11"/>
        <v>0.9973693319487712</v>
      </c>
      <c r="AG13" s="7">
        <v>17747</v>
      </c>
      <c r="AH13" s="7">
        <v>15087</v>
      </c>
      <c r="AI13" s="4">
        <f t="shared" si="12"/>
        <v>2748</v>
      </c>
      <c r="AJ13" s="6">
        <v>17835</v>
      </c>
      <c r="AK13" s="5">
        <f t="shared" si="13"/>
        <v>1.0049585845495013</v>
      </c>
      <c r="AL13" s="7">
        <v>17937</v>
      </c>
      <c r="AM13" s="7">
        <v>15307</v>
      </c>
      <c r="AN13" s="4">
        <f t="shared" si="14"/>
        <v>2555</v>
      </c>
      <c r="AO13" s="6">
        <v>17862</v>
      </c>
      <c r="AP13" s="5">
        <f t="shared" si="15"/>
        <v>0.99581869877906004</v>
      </c>
      <c r="AQ13" s="7">
        <v>28933</v>
      </c>
      <c r="AR13" s="7">
        <v>24647</v>
      </c>
      <c r="AS13" s="4">
        <f t="shared" si="16"/>
        <v>4292</v>
      </c>
      <c r="AT13" s="6">
        <v>28939</v>
      </c>
      <c r="AU13" s="5">
        <f t="shared" si="17"/>
        <v>1.0002073756610099</v>
      </c>
      <c r="AV13" s="7">
        <v>17858</v>
      </c>
      <c r="AW13" s="7">
        <v>15509</v>
      </c>
      <c r="AX13" s="4">
        <f t="shared" si="18"/>
        <v>2389</v>
      </c>
      <c r="AY13" s="6">
        <v>17898</v>
      </c>
      <c r="AZ13" s="5">
        <f t="shared" si="19"/>
        <v>1.0022398924851608</v>
      </c>
      <c r="BA13" s="7">
        <v>18026</v>
      </c>
      <c r="BB13" s="7">
        <v>15462</v>
      </c>
      <c r="BC13" s="4">
        <f t="shared" si="20"/>
        <v>2451</v>
      </c>
      <c r="BD13" s="6">
        <v>17913</v>
      </c>
      <c r="BE13" s="5">
        <f t="shared" si="21"/>
        <v>0.99373127704426933</v>
      </c>
      <c r="BF13" s="7">
        <v>29023</v>
      </c>
      <c r="BG13" s="7">
        <v>23421</v>
      </c>
      <c r="BH13" s="4">
        <f t="shared" si="22"/>
        <v>5619</v>
      </c>
      <c r="BI13" s="6">
        <v>29040</v>
      </c>
      <c r="BJ13" s="5">
        <f t="shared" si="23"/>
        <v>1.0005857423422804</v>
      </c>
    </row>
    <row r="14" spans="1:62" x14ac:dyDescent="0.3">
      <c r="A14" s="17">
        <v>5</v>
      </c>
      <c r="B14" s="3" t="s">
        <v>10</v>
      </c>
      <c r="C14" s="7">
        <v>90468</v>
      </c>
      <c r="D14" s="6">
        <v>71310</v>
      </c>
      <c r="E14" s="4">
        <f t="shared" si="0"/>
        <v>18568</v>
      </c>
      <c r="F14" s="13">
        <v>89878</v>
      </c>
      <c r="G14" s="5">
        <f t="shared" si="1"/>
        <v>0.99347835698810627</v>
      </c>
      <c r="H14" s="7">
        <v>94129</v>
      </c>
      <c r="I14" s="6">
        <v>73619</v>
      </c>
      <c r="J14" s="4">
        <f t="shared" si="2"/>
        <v>17709</v>
      </c>
      <c r="K14" s="13">
        <v>91328</v>
      </c>
      <c r="L14" s="5">
        <f t="shared" si="3"/>
        <v>0.97024296444241409</v>
      </c>
      <c r="M14" s="7">
        <v>164995</v>
      </c>
      <c r="N14" s="6">
        <v>131965</v>
      </c>
      <c r="O14" s="4">
        <f t="shared" si="4"/>
        <v>31585</v>
      </c>
      <c r="P14" s="6">
        <v>163550</v>
      </c>
      <c r="Q14" s="5">
        <f t="shared" si="5"/>
        <v>0.99124215885329858</v>
      </c>
      <c r="R14" s="7">
        <v>91074</v>
      </c>
      <c r="S14" s="6">
        <v>71938</v>
      </c>
      <c r="T14" s="4">
        <f t="shared" si="6"/>
        <v>18861</v>
      </c>
      <c r="U14" s="13">
        <v>90799</v>
      </c>
      <c r="V14" s="5">
        <f t="shared" si="7"/>
        <v>0.99698047741397111</v>
      </c>
      <c r="W14" s="7">
        <v>93800</v>
      </c>
      <c r="X14" s="6">
        <v>72783</v>
      </c>
      <c r="Y14" s="4">
        <f t="shared" si="8"/>
        <v>18506</v>
      </c>
      <c r="Z14" s="13">
        <v>91289</v>
      </c>
      <c r="AA14" s="5">
        <f t="shared" si="9"/>
        <v>0.97323027718550104</v>
      </c>
      <c r="AB14" s="7">
        <v>166352</v>
      </c>
      <c r="AC14" s="7">
        <v>129443</v>
      </c>
      <c r="AD14" s="4">
        <f t="shared" si="10"/>
        <v>34820</v>
      </c>
      <c r="AE14" s="6">
        <v>164263</v>
      </c>
      <c r="AF14" s="5">
        <f t="shared" si="11"/>
        <v>0.98744229104549386</v>
      </c>
      <c r="AG14" s="7">
        <v>92175</v>
      </c>
      <c r="AH14" s="7">
        <v>72447</v>
      </c>
      <c r="AI14" s="4">
        <f t="shared" si="12"/>
        <v>19052</v>
      </c>
      <c r="AJ14" s="6">
        <v>91499</v>
      </c>
      <c r="AK14" s="5">
        <f t="shared" si="13"/>
        <v>0.99266612422023326</v>
      </c>
      <c r="AL14" s="7">
        <v>94655</v>
      </c>
      <c r="AM14" s="7">
        <v>75583</v>
      </c>
      <c r="AN14" s="4">
        <f t="shared" si="14"/>
        <v>17330</v>
      </c>
      <c r="AO14" s="6">
        <v>92913</v>
      </c>
      <c r="AP14" s="5">
        <f t="shared" si="15"/>
        <v>0.98159632349057102</v>
      </c>
      <c r="AQ14" s="7">
        <v>168400</v>
      </c>
      <c r="AR14" s="7">
        <v>136042</v>
      </c>
      <c r="AS14" s="4">
        <f t="shared" si="16"/>
        <v>31151</v>
      </c>
      <c r="AT14" s="6">
        <v>167193</v>
      </c>
      <c r="AU14" s="5">
        <f t="shared" si="17"/>
        <v>0.99283254156769596</v>
      </c>
      <c r="AV14" s="7">
        <v>94024</v>
      </c>
      <c r="AW14" s="7">
        <v>76588</v>
      </c>
      <c r="AX14" s="4">
        <f t="shared" si="18"/>
        <v>16847</v>
      </c>
      <c r="AY14" s="6">
        <v>93435</v>
      </c>
      <c r="AZ14" s="5">
        <f t="shared" si="19"/>
        <v>0.99373564196375397</v>
      </c>
      <c r="BA14" s="7">
        <v>96514</v>
      </c>
      <c r="BB14" s="7">
        <v>78228</v>
      </c>
      <c r="BC14" s="4">
        <f t="shared" si="20"/>
        <v>16578</v>
      </c>
      <c r="BD14" s="6">
        <v>94806</v>
      </c>
      <c r="BE14" s="5">
        <f t="shared" si="21"/>
        <v>0.98230308556271628</v>
      </c>
      <c r="BF14" s="7">
        <v>171502</v>
      </c>
      <c r="BG14" s="7">
        <v>130801</v>
      </c>
      <c r="BH14" s="4">
        <f t="shared" si="22"/>
        <v>39463</v>
      </c>
      <c r="BI14" s="6">
        <v>170264</v>
      </c>
      <c r="BJ14" s="5">
        <f t="shared" si="23"/>
        <v>0.99278142528950097</v>
      </c>
    </row>
    <row r="15" spans="1:62" x14ac:dyDescent="0.3">
      <c r="A15" s="17">
        <v>6</v>
      </c>
      <c r="B15" s="3" t="s">
        <v>11</v>
      </c>
      <c r="C15" s="7">
        <v>304551</v>
      </c>
      <c r="D15" s="6">
        <v>251146</v>
      </c>
      <c r="E15" s="4">
        <f t="shared" si="0"/>
        <v>50745</v>
      </c>
      <c r="F15" s="13">
        <v>301891</v>
      </c>
      <c r="G15" s="5">
        <f t="shared" si="1"/>
        <v>0.99126583068188912</v>
      </c>
      <c r="H15" s="7">
        <v>309950</v>
      </c>
      <c r="I15" s="6">
        <v>258633</v>
      </c>
      <c r="J15" s="4">
        <f t="shared" si="2"/>
        <v>47801</v>
      </c>
      <c r="K15" s="13">
        <v>306434</v>
      </c>
      <c r="L15" s="5">
        <f t="shared" si="3"/>
        <v>0.98865623487659304</v>
      </c>
      <c r="M15" s="7">
        <v>517862</v>
      </c>
      <c r="N15" s="6">
        <v>431749</v>
      </c>
      <c r="O15" s="4">
        <f t="shared" si="4"/>
        <v>81134</v>
      </c>
      <c r="P15" s="6">
        <v>512883</v>
      </c>
      <c r="Q15" s="5">
        <f t="shared" si="5"/>
        <v>0.99038546948801032</v>
      </c>
      <c r="R15" s="7">
        <v>307768</v>
      </c>
      <c r="S15" s="6">
        <v>253852</v>
      </c>
      <c r="T15" s="4">
        <f t="shared" si="6"/>
        <v>52522</v>
      </c>
      <c r="U15" s="13">
        <v>306374</v>
      </c>
      <c r="V15" s="5">
        <f t="shared" si="7"/>
        <v>0.99547061422889971</v>
      </c>
      <c r="W15" s="7">
        <v>314114</v>
      </c>
      <c r="X15" s="6">
        <v>257561</v>
      </c>
      <c r="Y15" s="4">
        <f t="shared" si="8"/>
        <v>50946</v>
      </c>
      <c r="Z15" s="13">
        <v>308507</v>
      </c>
      <c r="AA15" s="5">
        <f t="shared" si="9"/>
        <v>0.98214979275040271</v>
      </c>
      <c r="AB15" s="7">
        <v>523203</v>
      </c>
      <c r="AC15" s="7">
        <v>427777</v>
      </c>
      <c r="AD15" s="4">
        <f t="shared" si="10"/>
        <v>91302</v>
      </c>
      <c r="AE15" s="6">
        <v>519079</v>
      </c>
      <c r="AF15" s="5">
        <f t="shared" si="11"/>
        <v>0.99211778219926106</v>
      </c>
      <c r="AG15" s="7">
        <v>312916</v>
      </c>
      <c r="AH15" s="7">
        <v>256540</v>
      </c>
      <c r="AI15" s="4">
        <f t="shared" si="12"/>
        <v>54209</v>
      </c>
      <c r="AJ15" s="6">
        <v>310749</v>
      </c>
      <c r="AK15" s="5">
        <f t="shared" si="13"/>
        <v>0.99307481880121184</v>
      </c>
      <c r="AL15" s="7">
        <v>318942</v>
      </c>
      <c r="AM15" s="7">
        <v>265313</v>
      </c>
      <c r="AN15" s="4">
        <f t="shared" si="14"/>
        <v>48507</v>
      </c>
      <c r="AO15" s="6">
        <v>313820</v>
      </c>
      <c r="AP15" s="5">
        <f t="shared" si="15"/>
        <v>0.98394065378658191</v>
      </c>
      <c r="AQ15" s="7">
        <v>530087</v>
      </c>
      <c r="AR15" s="7">
        <v>449039</v>
      </c>
      <c r="AS15" s="4">
        <f t="shared" si="16"/>
        <v>77320</v>
      </c>
      <c r="AT15" s="6">
        <v>526359</v>
      </c>
      <c r="AU15" s="5">
        <f t="shared" si="17"/>
        <v>0.99296719217788776</v>
      </c>
      <c r="AV15" s="7">
        <v>317508</v>
      </c>
      <c r="AW15" s="7">
        <v>267011</v>
      </c>
      <c r="AX15" s="4">
        <f t="shared" si="18"/>
        <v>49647</v>
      </c>
      <c r="AY15" s="6">
        <v>316658</v>
      </c>
      <c r="AZ15" s="5">
        <f t="shared" si="19"/>
        <v>0.99732290210010455</v>
      </c>
      <c r="BA15" s="7">
        <v>324414</v>
      </c>
      <c r="BB15" s="7">
        <v>271376</v>
      </c>
      <c r="BC15" s="4">
        <f t="shared" si="20"/>
        <v>49095</v>
      </c>
      <c r="BD15" s="6">
        <v>320471</v>
      </c>
      <c r="BE15" s="5">
        <f t="shared" si="21"/>
        <v>0.98784577730924061</v>
      </c>
      <c r="BF15" s="7">
        <v>538701</v>
      </c>
      <c r="BG15" s="7">
        <v>428283</v>
      </c>
      <c r="BH15" s="4">
        <f t="shared" si="22"/>
        <v>107363</v>
      </c>
      <c r="BI15" s="6">
        <v>535646</v>
      </c>
      <c r="BJ15" s="5">
        <f t="shared" si="23"/>
        <v>0.99432895056812587</v>
      </c>
    </row>
    <row r="16" spans="1:62" x14ac:dyDescent="0.3">
      <c r="A16" s="17">
        <v>7</v>
      </c>
      <c r="B16" s="3" t="s">
        <v>12</v>
      </c>
      <c r="C16" s="7">
        <v>445678</v>
      </c>
      <c r="D16" s="6">
        <v>364915</v>
      </c>
      <c r="E16" s="4">
        <f t="shared" si="0"/>
        <v>75400</v>
      </c>
      <c r="F16" s="13">
        <v>440315</v>
      </c>
      <c r="G16" s="5">
        <f t="shared" si="1"/>
        <v>0.98796664856690253</v>
      </c>
      <c r="H16" s="7">
        <v>453561</v>
      </c>
      <c r="I16" s="6">
        <v>372223</v>
      </c>
      <c r="J16" s="4">
        <f t="shared" si="2"/>
        <v>72140</v>
      </c>
      <c r="K16" s="13">
        <v>444363</v>
      </c>
      <c r="L16" s="5">
        <f t="shared" si="3"/>
        <v>0.97972047861257916</v>
      </c>
      <c r="M16" s="7">
        <v>776551</v>
      </c>
      <c r="N16" s="6">
        <v>641984</v>
      </c>
      <c r="O16" s="4">
        <f t="shared" si="4"/>
        <v>126190</v>
      </c>
      <c r="P16" s="6">
        <v>768174</v>
      </c>
      <c r="Q16" s="5">
        <f t="shared" si="5"/>
        <v>0.98921255654812112</v>
      </c>
      <c r="R16" s="7">
        <v>446959</v>
      </c>
      <c r="S16" s="6">
        <v>364485</v>
      </c>
      <c r="T16" s="4">
        <f t="shared" si="6"/>
        <v>79002</v>
      </c>
      <c r="U16" s="13">
        <v>443487</v>
      </c>
      <c r="V16" s="5">
        <f t="shared" si="7"/>
        <v>0.99223194968666029</v>
      </c>
      <c r="W16" s="7">
        <v>453618</v>
      </c>
      <c r="X16" s="6">
        <v>369347</v>
      </c>
      <c r="Y16" s="4">
        <f t="shared" si="8"/>
        <v>73484</v>
      </c>
      <c r="Z16" s="13">
        <v>442831</v>
      </c>
      <c r="AA16" s="5">
        <f t="shared" si="9"/>
        <v>0.97622007945011002</v>
      </c>
      <c r="AB16" s="7">
        <v>775718</v>
      </c>
      <c r="AC16" s="7">
        <v>631688</v>
      </c>
      <c r="AD16" s="4">
        <f t="shared" si="10"/>
        <v>135091</v>
      </c>
      <c r="AE16" s="6">
        <v>766779</v>
      </c>
      <c r="AF16" s="5">
        <f t="shared" si="11"/>
        <v>0.98847648243304909</v>
      </c>
      <c r="AG16" s="7">
        <v>444751</v>
      </c>
      <c r="AH16" s="7">
        <v>360038</v>
      </c>
      <c r="AI16" s="4">
        <f t="shared" si="12"/>
        <v>79136</v>
      </c>
      <c r="AJ16" s="6">
        <v>439174</v>
      </c>
      <c r="AK16" s="5">
        <f t="shared" si="13"/>
        <v>0.98746039918965889</v>
      </c>
      <c r="AL16" s="7">
        <v>448369</v>
      </c>
      <c r="AM16" s="7">
        <v>369407</v>
      </c>
      <c r="AN16" s="4">
        <f t="shared" si="14"/>
        <v>70276</v>
      </c>
      <c r="AO16" s="6">
        <v>439683</v>
      </c>
      <c r="AP16" s="5">
        <f t="shared" si="15"/>
        <v>0.98062756345777702</v>
      </c>
      <c r="AQ16" s="7">
        <v>770483</v>
      </c>
      <c r="AR16" s="7">
        <v>650339</v>
      </c>
      <c r="AS16" s="4">
        <f t="shared" si="16"/>
        <v>115750</v>
      </c>
      <c r="AT16" s="6">
        <v>766089</v>
      </c>
      <c r="AU16" s="5">
        <f t="shared" si="17"/>
        <v>0.99429708377731896</v>
      </c>
      <c r="AV16" s="7">
        <v>444563</v>
      </c>
      <c r="AW16" s="7">
        <v>372062</v>
      </c>
      <c r="AX16" s="4">
        <f t="shared" si="18"/>
        <v>71719</v>
      </c>
      <c r="AY16" s="6">
        <v>443781</v>
      </c>
      <c r="AZ16" s="5">
        <f t="shared" si="19"/>
        <v>0.99824096922146022</v>
      </c>
      <c r="BA16" s="7">
        <v>453397</v>
      </c>
      <c r="BB16" s="7">
        <v>376457</v>
      </c>
      <c r="BC16" s="4">
        <f t="shared" si="20"/>
        <v>70879</v>
      </c>
      <c r="BD16" s="6">
        <v>447336</v>
      </c>
      <c r="BE16" s="5">
        <f t="shared" si="21"/>
        <v>0.98663202447303355</v>
      </c>
      <c r="BF16" s="7">
        <v>780218</v>
      </c>
      <c r="BG16" s="7">
        <v>625978</v>
      </c>
      <c r="BH16" s="4">
        <f t="shared" si="22"/>
        <v>149630</v>
      </c>
      <c r="BI16" s="6">
        <v>775608</v>
      </c>
      <c r="BJ16" s="5">
        <f t="shared" si="23"/>
        <v>0.99409139496909837</v>
      </c>
    </row>
    <row r="17" spans="1:62" x14ac:dyDescent="0.3">
      <c r="A17" s="17">
        <v>8</v>
      </c>
      <c r="B17" s="3" t="s">
        <v>13</v>
      </c>
      <c r="C17" s="7">
        <v>323965</v>
      </c>
      <c r="D17" s="6">
        <v>268354</v>
      </c>
      <c r="E17" s="4">
        <f t="shared" si="0"/>
        <v>54403</v>
      </c>
      <c r="F17" s="13">
        <v>322757</v>
      </c>
      <c r="G17" s="5">
        <f t="shared" si="1"/>
        <v>0.99627120213603326</v>
      </c>
      <c r="H17" s="7">
        <v>333085</v>
      </c>
      <c r="I17" s="6">
        <v>279229</v>
      </c>
      <c r="J17" s="4">
        <f t="shared" si="2"/>
        <v>50108</v>
      </c>
      <c r="K17" s="13">
        <v>329337</v>
      </c>
      <c r="L17" s="5">
        <f t="shared" si="3"/>
        <v>0.98874761697464608</v>
      </c>
      <c r="M17" s="7">
        <v>731481</v>
      </c>
      <c r="N17" s="6">
        <v>605681</v>
      </c>
      <c r="O17" s="4">
        <f t="shared" si="4"/>
        <v>120927</v>
      </c>
      <c r="P17" s="6">
        <v>726608</v>
      </c>
      <c r="Q17" s="5">
        <f t="shared" si="5"/>
        <v>0.99333817283018966</v>
      </c>
      <c r="R17" s="7">
        <v>324758</v>
      </c>
      <c r="S17" s="6">
        <v>267111</v>
      </c>
      <c r="T17" s="4">
        <f t="shared" si="6"/>
        <v>57683</v>
      </c>
      <c r="U17" s="13">
        <v>324794</v>
      </c>
      <c r="V17" s="5">
        <f t="shared" si="7"/>
        <v>1.0001108517727046</v>
      </c>
      <c r="W17" s="7">
        <v>336053</v>
      </c>
      <c r="X17" s="6">
        <v>270886</v>
      </c>
      <c r="Y17" s="4">
        <f t="shared" si="8"/>
        <v>56898</v>
      </c>
      <c r="Z17" s="13">
        <v>327784</v>
      </c>
      <c r="AA17" s="5">
        <f t="shared" si="9"/>
        <v>0.97539376229344776</v>
      </c>
      <c r="AB17" s="7">
        <v>736224</v>
      </c>
      <c r="AC17" s="7">
        <v>597783</v>
      </c>
      <c r="AD17" s="4">
        <f t="shared" si="10"/>
        <v>130434</v>
      </c>
      <c r="AE17" s="6">
        <v>728217</v>
      </c>
      <c r="AF17" s="5">
        <f t="shared" si="11"/>
        <v>0.98912423392880433</v>
      </c>
      <c r="AG17" s="7">
        <v>328692</v>
      </c>
      <c r="AH17" s="7">
        <v>269746</v>
      </c>
      <c r="AI17" s="4">
        <f t="shared" si="12"/>
        <v>57521</v>
      </c>
      <c r="AJ17" s="6">
        <v>327267</v>
      </c>
      <c r="AK17" s="5">
        <f t="shared" si="13"/>
        <v>0.99566463436895336</v>
      </c>
      <c r="AL17" s="7">
        <v>339621</v>
      </c>
      <c r="AM17" s="7">
        <v>281606</v>
      </c>
      <c r="AN17" s="4">
        <f t="shared" si="14"/>
        <v>51365</v>
      </c>
      <c r="AO17" s="6">
        <v>332971</v>
      </c>
      <c r="AP17" s="5">
        <f t="shared" si="15"/>
        <v>0.98041934980463519</v>
      </c>
      <c r="AQ17" s="7">
        <v>745574</v>
      </c>
      <c r="AR17" s="7">
        <v>625795</v>
      </c>
      <c r="AS17" s="4">
        <f t="shared" si="16"/>
        <v>113602</v>
      </c>
      <c r="AT17" s="6">
        <v>739397</v>
      </c>
      <c r="AU17" s="5">
        <f t="shared" si="17"/>
        <v>0.99171510809121566</v>
      </c>
      <c r="AV17" s="7">
        <v>334329</v>
      </c>
      <c r="AW17" s="7">
        <v>280090</v>
      </c>
      <c r="AX17" s="4">
        <f t="shared" si="18"/>
        <v>53363</v>
      </c>
      <c r="AY17" s="6">
        <v>333453</v>
      </c>
      <c r="AZ17" s="5">
        <f t="shared" si="19"/>
        <v>0.99737982645836887</v>
      </c>
      <c r="BA17" s="7">
        <v>348862</v>
      </c>
      <c r="BB17" s="7">
        <v>287985</v>
      </c>
      <c r="BC17" s="4">
        <f t="shared" si="20"/>
        <v>52176</v>
      </c>
      <c r="BD17" s="6">
        <v>340161</v>
      </c>
      <c r="BE17" s="5">
        <f t="shared" si="21"/>
        <v>0.9750589058137602</v>
      </c>
      <c r="BF17" s="7">
        <v>757181</v>
      </c>
      <c r="BG17" s="7">
        <v>596414</v>
      </c>
      <c r="BH17" s="4">
        <f t="shared" si="22"/>
        <v>155952</v>
      </c>
      <c r="BI17" s="6">
        <v>752366</v>
      </c>
      <c r="BJ17" s="5">
        <f t="shared" si="23"/>
        <v>0.99364088639308168</v>
      </c>
    </row>
    <row r="18" spans="1:62" x14ac:dyDescent="0.3">
      <c r="A18" s="17">
        <v>9</v>
      </c>
      <c r="B18" s="3" t="s">
        <v>14</v>
      </c>
      <c r="C18" s="7">
        <v>998452</v>
      </c>
      <c r="D18" s="6">
        <v>805411</v>
      </c>
      <c r="E18" s="4">
        <f t="shared" si="0"/>
        <v>183887</v>
      </c>
      <c r="F18" s="13">
        <v>989298</v>
      </c>
      <c r="G18" s="5">
        <f t="shared" si="1"/>
        <v>0.99083180763822398</v>
      </c>
      <c r="H18" s="7">
        <v>1018686</v>
      </c>
      <c r="I18" s="6">
        <v>829977</v>
      </c>
      <c r="J18" s="4">
        <f t="shared" si="2"/>
        <v>172129</v>
      </c>
      <c r="K18" s="13">
        <v>1002106</v>
      </c>
      <c r="L18" s="5">
        <f t="shared" si="3"/>
        <v>0.98372413089018595</v>
      </c>
      <c r="M18" s="7">
        <v>1536859</v>
      </c>
      <c r="N18" s="6">
        <v>1258969</v>
      </c>
      <c r="O18" s="4">
        <f t="shared" si="4"/>
        <v>261540</v>
      </c>
      <c r="P18" s="6">
        <v>1520509</v>
      </c>
      <c r="Q18" s="5">
        <f t="shared" si="5"/>
        <v>0.98936141832139446</v>
      </c>
      <c r="R18" s="7">
        <v>1011292</v>
      </c>
      <c r="S18" s="6">
        <v>818342</v>
      </c>
      <c r="T18" s="4">
        <f t="shared" si="6"/>
        <v>185464</v>
      </c>
      <c r="U18" s="13">
        <v>1003806</v>
      </c>
      <c r="V18" s="5">
        <f t="shared" si="7"/>
        <v>0.99259758803589859</v>
      </c>
      <c r="W18" s="7">
        <v>1030498</v>
      </c>
      <c r="X18" s="6">
        <v>826318</v>
      </c>
      <c r="Y18" s="4">
        <f t="shared" si="8"/>
        <v>182503</v>
      </c>
      <c r="Z18" s="13">
        <v>1008821</v>
      </c>
      <c r="AA18" s="5">
        <f t="shared" si="9"/>
        <v>0.97896453947508877</v>
      </c>
      <c r="AB18" s="7">
        <v>1557879</v>
      </c>
      <c r="AC18" s="7">
        <v>1252430</v>
      </c>
      <c r="AD18" s="4">
        <f t="shared" si="10"/>
        <v>284336</v>
      </c>
      <c r="AE18" s="6">
        <v>1536766</v>
      </c>
      <c r="AF18" s="5">
        <f t="shared" si="11"/>
        <v>0.98644759958892825</v>
      </c>
      <c r="AG18" s="7">
        <v>1025067</v>
      </c>
      <c r="AH18" s="7">
        <v>823654</v>
      </c>
      <c r="AI18" s="4">
        <f t="shared" si="12"/>
        <v>194712</v>
      </c>
      <c r="AJ18" s="6">
        <v>1018366</v>
      </c>
      <c r="AK18" s="5">
        <f t="shared" si="13"/>
        <v>0.99346286632971303</v>
      </c>
      <c r="AL18" s="7">
        <v>1045736</v>
      </c>
      <c r="AM18" s="7">
        <v>863431</v>
      </c>
      <c r="AN18" s="4">
        <f t="shared" si="14"/>
        <v>168053</v>
      </c>
      <c r="AO18" s="6">
        <v>1031484</v>
      </c>
      <c r="AP18" s="5">
        <f t="shared" si="15"/>
        <v>0.98637132125125271</v>
      </c>
      <c r="AQ18" s="7">
        <v>1584961</v>
      </c>
      <c r="AR18" s="7">
        <v>1330409</v>
      </c>
      <c r="AS18" s="4">
        <f t="shared" si="16"/>
        <v>239246</v>
      </c>
      <c r="AT18" s="6">
        <v>1569655</v>
      </c>
      <c r="AU18" s="5">
        <f t="shared" si="17"/>
        <v>0.99034298004808952</v>
      </c>
      <c r="AV18" s="7">
        <v>1051416</v>
      </c>
      <c r="AW18" s="7">
        <v>869530</v>
      </c>
      <c r="AX18" s="4">
        <f t="shared" si="18"/>
        <v>176138</v>
      </c>
      <c r="AY18" s="6">
        <v>1045668</v>
      </c>
      <c r="AZ18" s="5">
        <f t="shared" si="19"/>
        <v>0.9945330868086466</v>
      </c>
      <c r="BA18" s="7">
        <v>1075670</v>
      </c>
      <c r="BB18" s="7">
        <v>881276</v>
      </c>
      <c r="BC18" s="4">
        <f t="shared" si="20"/>
        <v>178408</v>
      </c>
      <c r="BD18" s="6">
        <v>1059684</v>
      </c>
      <c r="BE18" s="5">
        <f t="shared" si="21"/>
        <v>0.98513856480147255</v>
      </c>
      <c r="BF18" s="7">
        <v>1620029</v>
      </c>
      <c r="BG18" s="7">
        <v>1255528</v>
      </c>
      <c r="BH18" s="4">
        <f t="shared" si="22"/>
        <v>346978</v>
      </c>
      <c r="BI18" s="6">
        <v>1602506</v>
      </c>
      <c r="BJ18" s="5">
        <f t="shared" si="23"/>
        <v>0.98918352696155443</v>
      </c>
    </row>
    <row r="19" spans="1:62" x14ac:dyDescent="0.3">
      <c r="A19" s="18">
        <v>10</v>
      </c>
      <c r="B19" s="3" t="s">
        <v>15</v>
      </c>
      <c r="C19" s="7">
        <v>291365</v>
      </c>
      <c r="D19" s="6">
        <v>221574</v>
      </c>
      <c r="E19" s="4">
        <f t="shared" si="0"/>
        <v>63281</v>
      </c>
      <c r="F19" s="13">
        <v>284855</v>
      </c>
      <c r="G19" s="5">
        <f t="shared" si="1"/>
        <v>0.97765689084138452</v>
      </c>
      <c r="H19" s="7">
        <v>301141</v>
      </c>
      <c r="I19" s="6">
        <v>235005</v>
      </c>
      <c r="J19" s="4">
        <f t="shared" si="2"/>
        <v>53975</v>
      </c>
      <c r="K19" s="13">
        <v>288980</v>
      </c>
      <c r="L19" s="5">
        <f t="shared" si="3"/>
        <v>0.95961692363377948</v>
      </c>
      <c r="M19" s="7">
        <v>505864</v>
      </c>
      <c r="N19" s="6">
        <v>407821</v>
      </c>
      <c r="O19" s="4">
        <f t="shared" si="4"/>
        <v>88088</v>
      </c>
      <c r="P19" s="6">
        <v>495909</v>
      </c>
      <c r="Q19" s="5">
        <f t="shared" si="5"/>
        <v>0.98032079768475322</v>
      </c>
      <c r="R19" s="7">
        <v>293000</v>
      </c>
      <c r="S19" s="6">
        <v>232732</v>
      </c>
      <c r="T19" s="4">
        <f t="shared" si="6"/>
        <v>53871</v>
      </c>
      <c r="U19" s="13">
        <v>286603</v>
      </c>
      <c r="V19" s="5">
        <f t="shared" si="7"/>
        <v>0.97816723549488049</v>
      </c>
      <c r="W19" s="7">
        <v>302979</v>
      </c>
      <c r="X19" s="6">
        <v>228060</v>
      </c>
      <c r="Y19" s="4">
        <f t="shared" si="8"/>
        <v>59398</v>
      </c>
      <c r="Z19" s="13">
        <v>287458</v>
      </c>
      <c r="AA19" s="5">
        <f t="shared" si="9"/>
        <v>0.94877202710418873</v>
      </c>
      <c r="AB19" s="7">
        <v>514622</v>
      </c>
      <c r="AC19" s="7">
        <v>393633</v>
      </c>
      <c r="AD19" s="4">
        <f t="shared" si="10"/>
        <v>102997</v>
      </c>
      <c r="AE19" s="6">
        <v>496630</v>
      </c>
      <c r="AF19" s="5">
        <f t="shared" si="11"/>
        <v>0.96503841654651379</v>
      </c>
      <c r="AG19" s="7">
        <v>295766</v>
      </c>
      <c r="AH19" s="7">
        <v>225844</v>
      </c>
      <c r="AI19" s="4">
        <f t="shared" si="12"/>
        <v>61320</v>
      </c>
      <c r="AJ19" s="6">
        <v>287164</v>
      </c>
      <c r="AK19" s="5">
        <f t="shared" si="13"/>
        <v>0.97091619726405332</v>
      </c>
      <c r="AL19" s="7">
        <v>302797</v>
      </c>
      <c r="AM19" s="7">
        <v>236575</v>
      </c>
      <c r="AN19" s="4">
        <f t="shared" si="14"/>
        <v>54202</v>
      </c>
      <c r="AO19" s="6">
        <v>290777</v>
      </c>
      <c r="AP19" s="5">
        <f t="shared" si="15"/>
        <v>0.96030343761662107</v>
      </c>
      <c r="AQ19" s="7">
        <v>519490</v>
      </c>
      <c r="AR19" s="7">
        <v>417672</v>
      </c>
      <c r="AS19" s="4">
        <f t="shared" si="16"/>
        <v>87514</v>
      </c>
      <c r="AT19" s="6">
        <v>505186</v>
      </c>
      <c r="AU19" s="5">
        <f t="shared" si="17"/>
        <v>0.97246530250822927</v>
      </c>
      <c r="AV19" s="7">
        <v>299668</v>
      </c>
      <c r="AW19" s="7">
        <v>238950</v>
      </c>
      <c r="AX19" s="4">
        <f t="shared" si="18"/>
        <v>55362</v>
      </c>
      <c r="AY19" s="6">
        <v>294312</v>
      </c>
      <c r="AZ19" s="5">
        <f t="shared" si="19"/>
        <v>0.98212688708837781</v>
      </c>
      <c r="BA19" s="7">
        <v>313772</v>
      </c>
      <c r="BB19" s="7">
        <v>241656</v>
      </c>
      <c r="BC19" s="4">
        <f t="shared" si="20"/>
        <v>57166</v>
      </c>
      <c r="BD19" s="6">
        <v>298822</v>
      </c>
      <c r="BE19" s="5">
        <f t="shared" si="21"/>
        <v>0.95235393852861316</v>
      </c>
      <c r="BF19" s="7">
        <v>528004</v>
      </c>
      <c r="BG19" s="7">
        <v>383407</v>
      </c>
      <c r="BH19" s="4">
        <f t="shared" si="22"/>
        <v>131654</v>
      </c>
      <c r="BI19" s="6">
        <v>515061</v>
      </c>
      <c r="BJ19" s="5">
        <f t="shared" si="23"/>
        <v>0.97548692812933235</v>
      </c>
    </row>
    <row r="20" spans="1:62" x14ac:dyDescent="0.3">
      <c r="A20" s="18">
        <v>11</v>
      </c>
      <c r="B20" s="3" t="s">
        <v>16</v>
      </c>
      <c r="C20" s="7">
        <v>6462</v>
      </c>
      <c r="D20" s="6">
        <v>4587</v>
      </c>
      <c r="E20" s="4">
        <f t="shared" si="0"/>
        <v>1821</v>
      </c>
      <c r="F20" s="13">
        <v>6408</v>
      </c>
      <c r="G20" s="5">
        <f t="shared" si="1"/>
        <v>0.99164345403899723</v>
      </c>
      <c r="H20" s="7">
        <v>6957</v>
      </c>
      <c r="I20" s="6">
        <v>4814</v>
      </c>
      <c r="J20" s="4">
        <f t="shared" si="2"/>
        <v>1641</v>
      </c>
      <c r="K20" s="13">
        <v>6455</v>
      </c>
      <c r="L20" s="5">
        <f t="shared" si="3"/>
        <v>0.92784246083081789</v>
      </c>
      <c r="M20" s="7">
        <v>9947</v>
      </c>
      <c r="N20" s="6">
        <v>7543</v>
      </c>
      <c r="O20" s="4">
        <f t="shared" si="4"/>
        <v>2269</v>
      </c>
      <c r="P20" s="6">
        <v>9812</v>
      </c>
      <c r="Q20" s="5">
        <f t="shared" si="5"/>
        <v>0.98642806876445155</v>
      </c>
      <c r="R20" s="7">
        <v>6587</v>
      </c>
      <c r="S20" s="6">
        <v>4901</v>
      </c>
      <c r="T20" s="4">
        <f t="shared" si="6"/>
        <v>1598</v>
      </c>
      <c r="U20" s="13">
        <v>6499</v>
      </c>
      <c r="V20" s="5">
        <f t="shared" si="7"/>
        <v>0.98664035220889634</v>
      </c>
      <c r="W20" s="7">
        <v>6643</v>
      </c>
      <c r="X20" s="6">
        <v>4793</v>
      </c>
      <c r="Y20" s="4">
        <f t="shared" si="8"/>
        <v>1697</v>
      </c>
      <c r="Z20" s="13">
        <v>6490</v>
      </c>
      <c r="AA20" s="5">
        <f t="shared" si="9"/>
        <v>0.97696823724220982</v>
      </c>
      <c r="AB20" s="7">
        <v>9927</v>
      </c>
      <c r="AC20" s="7">
        <v>7183</v>
      </c>
      <c r="AD20" s="4">
        <f t="shared" si="10"/>
        <v>2658</v>
      </c>
      <c r="AE20" s="6">
        <v>9841</v>
      </c>
      <c r="AF20" s="5">
        <f t="shared" si="11"/>
        <v>0.99133675833585166</v>
      </c>
      <c r="AG20" s="7">
        <v>6546</v>
      </c>
      <c r="AH20" s="7">
        <v>4685</v>
      </c>
      <c r="AI20" s="4">
        <f t="shared" si="12"/>
        <v>1771</v>
      </c>
      <c r="AJ20" s="6">
        <v>6456</v>
      </c>
      <c r="AK20" s="5">
        <f t="shared" si="13"/>
        <v>0.98625114573785522</v>
      </c>
      <c r="AL20" s="7">
        <v>6627</v>
      </c>
      <c r="AM20" s="7">
        <v>4922</v>
      </c>
      <c r="AN20" s="4">
        <f t="shared" si="14"/>
        <v>1601</v>
      </c>
      <c r="AO20" s="6">
        <v>6523</v>
      </c>
      <c r="AP20" s="5">
        <f t="shared" si="15"/>
        <v>0.98430662441527084</v>
      </c>
      <c r="AQ20" s="7">
        <v>9949</v>
      </c>
      <c r="AR20" s="7">
        <v>7600</v>
      </c>
      <c r="AS20" s="4">
        <f t="shared" si="16"/>
        <v>2325</v>
      </c>
      <c r="AT20" s="6">
        <v>9925</v>
      </c>
      <c r="AU20" s="5">
        <f t="shared" si="17"/>
        <v>0.9975876972560056</v>
      </c>
      <c r="AV20" s="7">
        <v>6437</v>
      </c>
      <c r="AW20" s="7">
        <v>4871</v>
      </c>
      <c r="AX20" s="4">
        <f t="shared" si="18"/>
        <v>1537</v>
      </c>
      <c r="AY20" s="6">
        <v>6408</v>
      </c>
      <c r="AZ20" s="5">
        <f t="shared" si="19"/>
        <v>0.99549479571228838</v>
      </c>
      <c r="BA20" s="7">
        <v>6564</v>
      </c>
      <c r="BB20" s="7">
        <v>4913</v>
      </c>
      <c r="BC20" s="4">
        <f t="shared" si="20"/>
        <v>1565</v>
      </c>
      <c r="BD20" s="6">
        <v>6478</v>
      </c>
      <c r="BE20" s="5">
        <f t="shared" si="21"/>
        <v>0.98689823278488731</v>
      </c>
      <c r="BF20" s="7">
        <v>10109</v>
      </c>
      <c r="BG20" s="7">
        <v>7024</v>
      </c>
      <c r="BH20" s="4">
        <f t="shared" si="22"/>
        <v>2967</v>
      </c>
      <c r="BI20" s="6">
        <v>9991</v>
      </c>
      <c r="BJ20" s="5">
        <f t="shared" si="23"/>
        <v>0.98832723315857152</v>
      </c>
    </row>
    <row r="21" spans="1:62" x14ac:dyDescent="0.3">
      <c r="A21" s="18">
        <v>12</v>
      </c>
      <c r="B21" s="3" t="s">
        <v>17</v>
      </c>
      <c r="C21" s="7">
        <v>10987</v>
      </c>
      <c r="D21" s="6">
        <v>6713</v>
      </c>
      <c r="E21" s="4">
        <f t="shared" si="0"/>
        <v>4160</v>
      </c>
      <c r="F21" s="13">
        <v>10873</v>
      </c>
      <c r="G21" s="5">
        <f t="shared" si="1"/>
        <v>0.98962410121052158</v>
      </c>
      <c r="H21" s="7">
        <v>10970</v>
      </c>
      <c r="I21" s="6">
        <v>7477</v>
      </c>
      <c r="J21" s="4">
        <f t="shared" si="2"/>
        <v>3441</v>
      </c>
      <c r="K21" s="13">
        <v>10918</v>
      </c>
      <c r="L21" s="5">
        <f t="shared" si="3"/>
        <v>0.99525979945305376</v>
      </c>
      <c r="M21" s="7">
        <v>14288</v>
      </c>
      <c r="N21" s="6">
        <v>9882</v>
      </c>
      <c r="O21" s="4">
        <f t="shared" si="4"/>
        <v>4596</v>
      </c>
      <c r="P21" s="6">
        <v>14478</v>
      </c>
      <c r="Q21" s="5">
        <f t="shared" si="5"/>
        <v>1.0132978723404256</v>
      </c>
      <c r="R21" s="7">
        <v>10910</v>
      </c>
      <c r="S21" s="6">
        <v>7498</v>
      </c>
      <c r="T21" s="4">
        <f t="shared" si="6"/>
        <v>3648</v>
      </c>
      <c r="U21" s="13">
        <v>11146</v>
      </c>
      <c r="V21" s="5">
        <f t="shared" si="7"/>
        <v>1.0216315307057746</v>
      </c>
      <c r="W21" s="7">
        <v>11256</v>
      </c>
      <c r="X21" s="6">
        <v>7639</v>
      </c>
      <c r="Y21" s="4">
        <f t="shared" si="8"/>
        <v>3626</v>
      </c>
      <c r="Z21" s="13">
        <v>11265</v>
      </c>
      <c r="AA21" s="5">
        <f t="shared" si="9"/>
        <v>1.0007995735607675</v>
      </c>
      <c r="AB21" s="7">
        <v>14831</v>
      </c>
      <c r="AC21" s="7">
        <v>10089</v>
      </c>
      <c r="AD21" s="4">
        <f t="shared" si="10"/>
        <v>4823</v>
      </c>
      <c r="AE21" s="6">
        <v>14912</v>
      </c>
      <c r="AF21" s="5">
        <f t="shared" si="11"/>
        <v>1.0054615332748971</v>
      </c>
      <c r="AG21" s="7">
        <v>11222</v>
      </c>
      <c r="AH21" s="7">
        <v>7643</v>
      </c>
      <c r="AI21" s="4">
        <f t="shared" si="12"/>
        <v>3654</v>
      </c>
      <c r="AJ21" s="6">
        <v>11297</v>
      </c>
      <c r="AK21" s="5">
        <f t="shared" si="13"/>
        <v>1.0066833006594189</v>
      </c>
      <c r="AL21" s="7">
        <v>11337</v>
      </c>
      <c r="AM21" s="7">
        <v>8025</v>
      </c>
      <c r="AN21" s="4">
        <f t="shared" si="14"/>
        <v>3425</v>
      </c>
      <c r="AO21" s="6">
        <v>11450</v>
      </c>
      <c r="AP21" s="5">
        <f t="shared" si="15"/>
        <v>1.0099673635000441</v>
      </c>
      <c r="AQ21" s="7">
        <v>15149</v>
      </c>
      <c r="AR21" s="7">
        <v>10814</v>
      </c>
      <c r="AS21" s="4">
        <f t="shared" si="16"/>
        <v>4481</v>
      </c>
      <c r="AT21" s="6">
        <v>15295</v>
      </c>
      <c r="AU21" s="5">
        <f t="shared" si="17"/>
        <v>1.0096375998415736</v>
      </c>
      <c r="AV21" s="7">
        <v>11422</v>
      </c>
      <c r="AW21" s="7">
        <v>8074</v>
      </c>
      <c r="AX21" s="4">
        <f t="shared" si="18"/>
        <v>3545</v>
      </c>
      <c r="AY21" s="6">
        <v>11619</v>
      </c>
      <c r="AZ21" s="5">
        <f t="shared" si="19"/>
        <v>1.0172474172649273</v>
      </c>
      <c r="BA21" s="7">
        <v>11689</v>
      </c>
      <c r="BB21" s="7">
        <v>8322</v>
      </c>
      <c r="BC21" s="4">
        <f t="shared" si="20"/>
        <v>3403</v>
      </c>
      <c r="BD21" s="6">
        <v>11725</v>
      </c>
      <c r="BE21" s="5">
        <f t="shared" si="21"/>
        <v>1.0030798186329026</v>
      </c>
      <c r="BF21" s="7">
        <v>15725</v>
      </c>
      <c r="BG21" s="7">
        <v>9445</v>
      </c>
      <c r="BH21" s="4">
        <f t="shared" si="22"/>
        <v>6152</v>
      </c>
      <c r="BI21" s="6">
        <v>15597</v>
      </c>
      <c r="BJ21" s="5">
        <f t="shared" si="23"/>
        <v>0.99186009538950715</v>
      </c>
    </row>
    <row r="22" spans="1:62" x14ac:dyDescent="0.3">
      <c r="A22" s="18">
        <v>13</v>
      </c>
      <c r="B22" s="3" t="s">
        <v>18</v>
      </c>
      <c r="C22" s="7">
        <v>6756</v>
      </c>
      <c r="D22" s="6">
        <v>4871</v>
      </c>
      <c r="E22" s="4">
        <f t="shared" si="0"/>
        <v>1787</v>
      </c>
      <c r="F22" s="13">
        <v>6658</v>
      </c>
      <c r="G22" s="5">
        <f t="shared" si="1"/>
        <v>0.98549437537004148</v>
      </c>
      <c r="H22" s="7">
        <v>6770</v>
      </c>
      <c r="I22" s="6">
        <v>5092</v>
      </c>
      <c r="J22" s="4">
        <f t="shared" si="2"/>
        <v>1651</v>
      </c>
      <c r="K22" s="13">
        <v>6743</v>
      </c>
      <c r="L22" s="5">
        <f t="shared" si="3"/>
        <v>0.99601181683899553</v>
      </c>
      <c r="M22" s="7">
        <v>8074</v>
      </c>
      <c r="N22" s="6">
        <v>6087</v>
      </c>
      <c r="O22" s="4">
        <f t="shared" si="4"/>
        <v>1964</v>
      </c>
      <c r="P22" s="6">
        <v>8051</v>
      </c>
      <c r="Q22" s="5">
        <f t="shared" si="5"/>
        <v>0.99715135001238542</v>
      </c>
      <c r="R22" s="7">
        <v>6748</v>
      </c>
      <c r="S22" s="6">
        <v>5035</v>
      </c>
      <c r="T22" s="4">
        <f t="shared" si="6"/>
        <v>1729</v>
      </c>
      <c r="U22" s="13">
        <v>6764</v>
      </c>
      <c r="V22" s="5">
        <f t="shared" si="7"/>
        <v>1.002371072910492</v>
      </c>
      <c r="W22" s="7">
        <v>6876</v>
      </c>
      <c r="X22" s="6">
        <v>5166</v>
      </c>
      <c r="Y22" s="4">
        <f t="shared" si="8"/>
        <v>1659</v>
      </c>
      <c r="Z22" s="13">
        <v>6825</v>
      </c>
      <c r="AA22" s="5">
        <f t="shared" si="9"/>
        <v>0.99258289703315883</v>
      </c>
      <c r="AB22" s="7">
        <v>8219</v>
      </c>
      <c r="AC22" s="7">
        <v>5985</v>
      </c>
      <c r="AD22" s="4">
        <f t="shared" si="10"/>
        <v>2215</v>
      </c>
      <c r="AE22" s="6">
        <v>8200</v>
      </c>
      <c r="AF22" s="5">
        <f t="shared" si="11"/>
        <v>0.99768828324613701</v>
      </c>
      <c r="AG22" s="7">
        <v>6901</v>
      </c>
      <c r="AH22" s="7">
        <v>5182</v>
      </c>
      <c r="AI22" s="4">
        <f t="shared" si="12"/>
        <v>1693</v>
      </c>
      <c r="AJ22" s="6">
        <v>6875</v>
      </c>
      <c r="AK22" s="5">
        <f t="shared" si="13"/>
        <v>0.99623243008259676</v>
      </c>
      <c r="AL22" s="7">
        <v>6948</v>
      </c>
      <c r="AM22" s="7">
        <v>5229</v>
      </c>
      <c r="AN22" s="4">
        <f t="shared" si="14"/>
        <v>1676</v>
      </c>
      <c r="AO22" s="6">
        <v>6905</v>
      </c>
      <c r="AP22" s="5">
        <f t="shared" si="15"/>
        <v>0.99381116868163499</v>
      </c>
      <c r="AQ22" s="7">
        <v>8297</v>
      </c>
      <c r="AR22" s="7">
        <v>6175</v>
      </c>
      <c r="AS22" s="4">
        <f t="shared" si="16"/>
        <v>2080</v>
      </c>
      <c r="AT22" s="6">
        <v>8255</v>
      </c>
      <c r="AU22" s="5">
        <f t="shared" si="17"/>
        <v>0.99493792937206216</v>
      </c>
      <c r="AV22" s="7">
        <v>6958</v>
      </c>
      <c r="AW22" s="7">
        <v>5126</v>
      </c>
      <c r="AX22" s="4">
        <f t="shared" si="18"/>
        <v>1815</v>
      </c>
      <c r="AY22" s="6">
        <v>6941</v>
      </c>
      <c r="AZ22" s="5">
        <f t="shared" si="19"/>
        <v>0.9975567691865479</v>
      </c>
      <c r="BA22" s="7">
        <v>7049</v>
      </c>
      <c r="BB22" s="7">
        <v>5306</v>
      </c>
      <c r="BC22" s="4">
        <f t="shared" si="20"/>
        <v>1689</v>
      </c>
      <c r="BD22" s="6">
        <v>6995</v>
      </c>
      <c r="BE22" s="5">
        <f t="shared" si="21"/>
        <v>0.99233933891332105</v>
      </c>
      <c r="BF22" s="7">
        <v>8436</v>
      </c>
      <c r="BG22" s="7">
        <v>5739</v>
      </c>
      <c r="BH22" s="4">
        <f t="shared" si="22"/>
        <v>2602</v>
      </c>
      <c r="BI22" s="6">
        <v>8341</v>
      </c>
      <c r="BJ22" s="5">
        <f t="shared" si="23"/>
        <v>0.98873873873873874</v>
      </c>
    </row>
    <row r="23" spans="1:62" x14ac:dyDescent="0.3">
      <c r="A23" s="18">
        <v>14</v>
      </c>
      <c r="B23" s="3" t="s">
        <v>19</v>
      </c>
      <c r="C23" s="7">
        <v>8808</v>
      </c>
      <c r="D23" s="6">
        <v>5625</v>
      </c>
      <c r="E23" s="4">
        <f t="shared" si="0"/>
        <v>3028</v>
      </c>
      <c r="F23" s="13">
        <v>8653</v>
      </c>
      <c r="G23" s="5">
        <f t="shared" si="1"/>
        <v>0.98240236148955495</v>
      </c>
      <c r="H23" s="7">
        <v>8878</v>
      </c>
      <c r="I23" s="6">
        <v>5907</v>
      </c>
      <c r="J23" s="4">
        <f t="shared" si="2"/>
        <v>2857</v>
      </c>
      <c r="K23" s="13">
        <v>8764</v>
      </c>
      <c r="L23" s="5">
        <f t="shared" si="3"/>
        <v>0.98715927010587967</v>
      </c>
      <c r="M23" s="7">
        <v>11255</v>
      </c>
      <c r="N23" s="6">
        <v>7806</v>
      </c>
      <c r="O23" s="4">
        <f t="shared" si="4"/>
        <v>3366</v>
      </c>
      <c r="P23" s="6">
        <v>11172</v>
      </c>
      <c r="Q23" s="5">
        <f t="shared" si="5"/>
        <v>0.99262549977787651</v>
      </c>
      <c r="R23" s="7">
        <v>8944</v>
      </c>
      <c r="S23" s="6">
        <v>6258</v>
      </c>
      <c r="T23" s="4">
        <f t="shared" si="6"/>
        <v>2620</v>
      </c>
      <c r="U23" s="13">
        <v>8878</v>
      </c>
      <c r="V23" s="5">
        <f t="shared" si="7"/>
        <v>0.9926207513416816</v>
      </c>
      <c r="W23" s="7">
        <v>10422</v>
      </c>
      <c r="X23" s="6">
        <v>6077</v>
      </c>
      <c r="Y23" s="4">
        <f t="shared" si="8"/>
        <v>2903</v>
      </c>
      <c r="Z23" s="13">
        <v>8980</v>
      </c>
      <c r="AA23" s="5">
        <f t="shared" si="9"/>
        <v>0.86163884091345233</v>
      </c>
      <c r="AB23" s="7">
        <v>11673</v>
      </c>
      <c r="AC23" s="7">
        <v>7672</v>
      </c>
      <c r="AD23" s="4">
        <f t="shared" si="10"/>
        <v>3670</v>
      </c>
      <c r="AE23" s="6">
        <v>11342</v>
      </c>
      <c r="AF23" s="5">
        <f t="shared" si="11"/>
        <v>0.97164396470487446</v>
      </c>
      <c r="AG23" s="7">
        <v>9370</v>
      </c>
      <c r="AH23" s="7">
        <v>4586</v>
      </c>
      <c r="AI23" s="4">
        <f t="shared" si="12"/>
        <v>4364</v>
      </c>
      <c r="AJ23" s="6">
        <v>8950</v>
      </c>
      <c r="AK23" s="5">
        <f t="shared" si="13"/>
        <v>0.95517609391675562</v>
      </c>
      <c r="AL23" s="7">
        <v>9238</v>
      </c>
      <c r="AM23" s="7">
        <v>6403</v>
      </c>
      <c r="AN23" s="4">
        <f t="shared" si="14"/>
        <v>2583</v>
      </c>
      <c r="AO23" s="6">
        <v>8986</v>
      </c>
      <c r="AP23" s="5">
        <f t="shared" si="15"/>
        <v>0.97272136826152844</v>
      </c>
      <c r="AQ23" s="7">
        <v>11727</v>
      </c>
      <c r="AR23" s="7">
        <v>8412</v>
      </c>
      <c r="AS23" s="4">
        <f t="shared" si="16"/>
        <v>3052</v>
      </c>
      <c r="AT23" s="6">
        <v>11464</v>
      </c>
      <c r="AU23" s="5">
        <f t="shared" si="17"/>
        <v>0.97757312185554701</v>
      </c>
      <c r="AV23" s="7">
        <v>9359</v>
      </c>
      <c r="AW23" s="7">
        <v>6383</v>
      </c>
      <c r="AX23" s="4">
        <f t="shared" si="18"/>
        <v>2715</v>
      </c>
      <c r="AY23" s="6">
        <v>9098</v>
      </c>
      <c r="AZ23" s="5">
        <f t="shared" si="19"/>
        <v>0.97211240517149267</v>
      </c>
      <c r="BA23" s="7">
        <v>9570</v>
      </c>
      <c r="BB23" s="7">
        <v>6309</v>
      </c>
      <c r="BC23" s="4">
        <f t="shared" si="20"/>
        <v>2842</v>
      </c>
      <c r="BD23" s="6">
        <v>9151</v>
      </c>
      <c r="BE23" s="5">
        <f t="shared" si="21"/>
        <v>0.95621734587251828</v>
      </c>
      <c r="BF23" s="7">
        <v>11968</v>
      </c>
      <c r="BG23" s="7">
        <v>7400</v>
      </c>
      <c r="BH23" s="4">
        <f t="shared" si="22"/>
        <v>4225</v>
      </c>
      <c r="BI23" s="6">
        <v>11625</v>
      </c>
      <c r="BJ23" s="5">
        <f t="shared" si="23"/>
        <v>0.97134024064171121</v>
      </c>
    </row>
    <row r="24" spans="1:62" x14ac:dyDescent="0.3">
      <c r="A24" s="18">
        <v>15</v>
      </c>
      <c r="B24" s="3" t="s">
        <v>20</v>
      </c>
      <c r="C24" s="7">
        <v>6250</v>
      </c>
      <c r="D24" s="6">
        <v>4894</v>
      </c>
      <c r="E24" s="4">
        <f t="shared" si="0"/>
        <v>1280</v>
      </c>
      <c r="F24" s="13">
        <v>6174</v>
      </c>
      <c r="G24" s="5">
        <f t="shared" si="1"/>
        <v>0.98784000000000005</v>
      </c>
      <c r="H24" s="7">
        <v>6322</v>
      </c>
      <c r="I24" s="6">
        <v>5028</v>
      </c>
      <c r="J24" s="4">
        <f t="shared" si="2"/>
        <v>1197</v>
      </c>
      <c r="K24" s="13">
        <v>6225</v>
      </c>
      <c r="L24" s="5">
        <f t="shared" si="3"/>
        <v>0.9846567541917115</v>
      </c>
      <c r="M24" s="7">
        <v>7266</v>
      </c>
      <c r="N24" s="6">
        <v>5730</v>
      </c>
      <c r="O24" s="4">
        <f t="shared" si="4"/>
        <v>1414</v>
      </c>
      <c r="P24" s="6">
        <v>7144</v>
      </c>
      <c r="Q24" s="5">
        <f t="shared" si="5"/>
        <v>0.98320946875860171</v>
      </c>
      <c r="R24" s="7">
        <v>6403</v>
      </c>
      <c r="S24" s="6">
        <v>5044</v>
      </c>
      <c r="T24" s="4">
        <f t="shared" si="6"/>
        <v>1245</v>
      </c>
      <c r="U24" s="13">
        <v>6289</v>
      </c>
      <c r="V24" s="5">
        <f t="shared" si="7"/>
        <v>0.98219584569732943</v>
      </c>
      <c r="W24" s="7">
        <v>6540</v>
      </c>
      <c r="X24" s="6">
        <v>5107</v>
      </c>
      <c r="Y24" s="4">
        <f t="shared" si="8"/>
        <v>1285</v>
      </c>
      <c r="Z24" s="13">
        <v>6392</v>
      </c>
      <c r="AA24" s="5">
        <f t="shared" si="9"/>
        <v>0.97737003058103977</v>
      </c>
      <c r="AB24" s="7">
        <v>7473</v>
      </c>
      <c r="AC24" s="7">
        <v>5644</v>
      </c>
      <c r="AD24" s="4">
        <f t="shared" si="10"/>
        <v>1714</v>
      </c>
      <c r="AE24" s="6">
        <v>7358</v>
      </c>
      <c r="AF24" s="5">
        <f t="shared" si="11"/>
        <v>0.98461126722868997</v>
      </c>
      <c r="AG24" s="7">
        <v>6660</v>
      </c>
      <c r="AH24" s="7">
        <v>5154</v>
      </c>
      <c r="AI24" s="4">
        <f t="shared" si="12"/>
        <v>1419</v>
      </c>
      <c r="AJ24" s="6">
        <v>6573</v>
      </c>
      <c r="AK24" s="5">
        <f t="shared" si="13"/>
        <v>0.98693693693693696</v>
      </c>
      <c r="AL24" s="7">
        <v>6723</v>
      </c>
      <c r="AM24" s="7">
        <v>5263</v>
      </c>
      <c r="AN24" s="4">
        <f t="shared" si="14"/>
        <v>1355</v>
      </c>
      <c r="AO24" s="6">
        <v>6618</v>
      </c>
      <c r="AP24" s="5">
        <f t="shared" si="15"/>
        <v>0.98438197233377955</v>
      </c>
      <c r="AQ24" s="7">
        <v>7657</v>
      </c>
      <c r="AR24" s="7">
        <v>5983</v>
      </c>
      <c r="AS24" s="4">
        <f t="shared" si="16"/>
        <v>1550</v>
      </c>
      <c r="AT24" s="6">
        <v>7533</v>
      </c>
      <c r="AU24" s="5">
        <f t="shared" si="17"/>
        <v>0.98380566801619429</v>
      </c>
      <c r="AV24" s="7">
        <v>6786</v>
      </c>
      <c r="AW24" s="7">
        <v>5303</v>
      </c>
      <c r="AX24" s="4">
        <f t="shared" si="18"/>
        <v>1418</v>
      </c>
      <c r="AY24" s="6">
        <v>6721</v>
      </c>
      <c r="AZ24" s="5">
        <f t="shared" si="19"/>
        <v>0.99042145593869735</v>
      </c>
      <c r="BA24" s="7">
        <v>7025</v>
      </c>
      <c r="BB24" s="7">
        <v>5510</v>
      </c>
      <c r="BC24" s="4">
        <f t="shared" si="20"/>
        <v>1270</v>
      </c>
      <c r="BD24" s="6">
        <v>6780</v>
      </c>
      <c r="BE24" s="5">
        <f t="shared" si="21"/>
        <v>0.96512455516014239</v>
      </c>
      <c r="BF24" s="7">
        <v>7878</v>
      </c>
      <c r="BG24" s="7">
        <v>5770</v>
      </c>
      <c r="BH24" s="4">
        <f t="shared" si="22"/>
        <v>1945</v>
      </c>
      <c r="BI24" s="6">
        <v>7715</v>
      </c>
      <c r="BJ24" s="5">
        <f t="shared" si="23"/>
        <v>0.97930946940847929</v>
      </c>
    </row>
    <row r="25" spans="1:62" x14ac:dyDescent="0.3">
      <c r="A25" s="18">
        <v>16</v>
      </c>
      <c r="B25" s="3" t="s">
        <v>21</v>
      </c>
      <c r="C25" s="7">
        <v>20928</v>
      </c>
      <c r="D25" s="6">
        <v>15944</v>
      </c>
      <c r="E25" s="4">
        <f t="shared" si="0"/>
        <v>4266</v>
      </c>
      <c r="F25" s="13">
        <v>20210</v>
      </c>
      <c r="G25" s="5">
        <f t="shared" si="1"/>
        <v>0.96569189602446481</v>
      </c>
      <c r="H25" s="7">
        <v>20519</v>
      </c>
      <c r="I25" s="6">
        <v>16487</v>
      </c>
      <c r="J25" s="4">
        <f t="shared" si="2"/>
        <v>3819</v>
      </c>
      <c r="K25" s="13">
        <v>20306</v>
      </c>
      <c r="L25" s="5">
        <f t="shared" si="3"/>
        <v>0.98961937716262971</v>
      </c>
      <c r="M25" s="7">
        <v>27924</v>
      </c>
      <c r="N25" s="6">
        <v>22332</v>
      </c>
      <c r="O25" s="4">
        <f t="shared" si="4"/>
        <v>5513</v>
      </c>
      <c r="P25" s="6">
        <v>27845</v>
      </c>
      <c r="Q25" s="5">
        <f t="shared" si="5"/>
        <v>0.99717089242228907</v>
      </c>
      <c r="R25" s="7">
        <v>20481</v>
      </c>
      <c r="S25" s="6">
        <v>16021</v>
      </c>
      <c r="T25" s="4">
        <f t="shared" si="6"/>
        <v>4466</v>
      </c>
      <c r="U25" s="13">
        <v>20487</v>
      </c>
      <c r="V25" s="5">
        <f t="shared" si="7"/>
        <v>1.0002929544455836</v>
      </c>
      <c r="W25" s="7">
        <v>20934</v>
      </c>
      <c r="X25" s="6">
        <v>16399</v>
      </c>
      <c r="Y25" s="4">
        <f t="shared" si="8"/>
        <v>4192</v>
      </c>
      <c r="Z25" s="13">
        <v>20591</v>
      </c>
      <c r="AA25" s="5">
        <f t="shared" si="9"/>
        <v>0.9836151714913538</v>
      </c>
      <c r="AB25" s="7">
        <v>28211</v>
      </c>
      <c r="AC25" s="7">
        <v>21959</v>
      </c>
      <c r="AD25" s="4">
        <f t="shared" si="10"/>
        <v>6181</v>
      </c>
      <c r="AE25" s="6">
        <v>28140</v>
      </c>
      <c r="AF25" s="5">
        <f t="shared" si="11"/>
        <v>0.99748325121406545</v>
      </c>
      <c r="AG25" s="7">
        <v>20778</v>
      </c>
      <c r="AH25" s="7">
        <v>16565</v>
      </c>
      <c r="AI25" s="4">
        <f t="shared" si="12"/>
        <v>4120</v>
      </c>
      <c r="AJ25" s="6">
        <v>20685</v>
      </c>
      <c r="AK25" s="5">
        <f t="shared" si="13"/>
        <v>0.99552411204158242</v>
      </c>
      <c r="AL25" s="7">
        <v>21081</v>
      </c>
      <c r="AM25" s="7">
        <v>16795</v>
      </c>
      <c r="AN25" s="4">
        <f t="shared" si="14"/>
        <v>4061</v>
      </c>
      <c r="AO25" s="6">
        <v>20856</v>
      </c>
      <c r="AP25" s="5">
        <f t="shared" si="15"/>
        <v>0.98932688202646935</v>
      </c>
      <c r="AQ25" s="7">
        <v>28478</v>
      </c>
      <c r="AR25" s="7">
        <v>23325</v>
      </c>
      <c r="AS25" s="4">
        <f t="shared" si="16"/>
        <v>5059</v>
      </c>
      <c r="AT25" s="6">
        <v>28384</v>
      </c>
      <c r="AU25" s="5">
        <f t="shared" si="17"/>
        <v>0.99669920640494414</v>
      </c>
      <c r="AV25" s="7">
        <v>21086</v>
      </c>
      <c r="AW25" s="7">
        <v>16732</v>
      </c>
      <c r="AX25" s="4">
        <f t="shared" si="18"/>
        <v>4270</v>
      </c>
      <c r="AY25" s="6">
        <v>21002</v>
      </c>
      <c r="AZ25" s="5">
        <f t="shared" si="19"/>
        <v>0.9960163141420848</v>
      </c>
      <c r="BA25" s="7">
        <v>21405</v>
      </c>
      <c r="BB25" s="7">
        <v>16832</v>
      </c>
      <c r="BC25" s="4">
        <f t="shared" si="20"/>
        <v>4335</v>
      </c>
      <c r="BD25" s="6">
        <v>21167</v>
      </c>
      <c r="BE25" s="5">
        <f t="shared" si="21"/>
        <v>0.98888110254613404</v>
      </c>
      <c r="BF25" s="7">
        <v>28924</v>
      </c>
      <c r="BG25" s="7">
        <v>20814</v>
      </c>
      <c r="BH25" s="4">
        <f t="shared" si="22"/>
        <v>7874</v>
      </c>
      <c r="BI25" s="6">
        <v>28688</v>
      </c>
      <c r="BJ25" s="5">
        <f t="shared" si="23"/>
        <v>0.9918406859355553</v>
      </c>
    </row>
    <row r="26" spans="1:62" x14ac:dyDescent="0.3">
      <c r="A26" s="18">
        <v>17</v>
      </c>
      <c r="B26" s="3" t="s">
        <v>22</v>
      </c>
      <c r="C26" s="7">
        <v>14082</v>
      </c>
      <c r="D26" s="6">
        <v>10716</v>
      </c>
      <c r="E26" s="4">
        <f t="shared" si="0"/>
        <v>3344</v>
      </c>
      <c r="F26" s="13">
        <v>14060</v>
      </c>
      <c r="G26" s="5">
        <f t="shared" si="1"/>
        <v>0.99843772191450075</v>
      </c>
      <c r="H26" s="7">
        <v>14494</v>
      </c>
      <c r="I26" s="6">
        <v>11267</v>
      </c>
      <c r="J26" s="4">
        <f t="shared" si="2"/>
        <v>3051</v>
      </c>
      <c r="K26" s="13">
        <v>14318</v>
      </c>
      <c r="L26" s="5">
        <f t="shared" si="3"/>
        <v>0.98785704429419074</v>
      </c>
      <c r="M26" s="7">
        <v>27473</v>
      </c>
      <c r="N26" s="6">
        <v>22115</v>
      </c>
      <c r="O26" s="4">
        <f t="shared" si="4"/>
        <v>5235</v>
      </c>
      <c r="P26" s="6">
        <v>27350</v>
      </c>
      <c r="Q26" s="5">
        <f t="shared" si="5"/>
        <v>0.99552287700651554</v>
      </c>
      <c r="R26" s="7">
        <v>14274</v>
      </c>
      <c r="S26" s="6">
        <v>10902</v>
      </c>
      <c r="T26" s="4">
        <f t="shared" si="6"/>
        <v>3371</v>
      </c>
      <c r="U26" s="13">
        <v>14273</v>
      </c>
      <c r="V26" s="5">
        <f t="shared" si="7"/>
        <v>0.99992994255289336</v>
      </c>
      <c r="W26" s="7">
        <v>14651</v>
      </c>
      <c r="X26" s="6">
        <v>11313</v>
      </c>
      <c r="Y26" s="4">
        <f t="shared" si="8"/>
        <v>3107</v>
      </c>
      <c r="Z26" s="13">
        <v>14420</v>
      </c>
      <c r="AA26" s="5">
        <f t="shared" si="9"/>
        <v>0.9842331581462016</v>
      </c>
      <c r="AB26" s="7">
        <v>28023</v>
      </c>
      <c r="AC26" s="7">
        <v>21889</v>
      </c>
      <c r="AD26" s="4">
        <f t="shared" si="10"/>
        <v>5703</v>
      </c>
      <c r="AE26" s="6">
        <v>27592</v>
      </c>
      <c r="AF26" s="5">
        <f t="shared" si="11"/>
        <v>0.98461977661206868</v>
      </c>
      <c r="AG26" s="7">
        <v>14346</v>
      </c>
      <c r="AH26" s="7">
        <v>11231</v>
      </c>
      <c r="AI26" s="4">
        <f t="shared" si="12"/>
        <v>3049</v>
      </c>
      <c r="AJ26" s="6">
        <v>14280</v>
      </c>
      <c r="AK26" s="5">
        <f t="shared" si="13"/>
        <v>0.99539941447093261</v>
      </c>
      <c r="AL26" s="7">
        <v>14687</v>
      </c>
      <c r="AM26" s="7">
        <v>11443</v>
      </c>
      <c r="AN26" s="4">
        <f t="shared" si="14"/>
        <v>2959</v>
      </c>
      <c r="AO26" s="6">
        <v>14402</v>
      </c>
      <c r="AP26" s="5">
        <f t="shared" si="15"/>
        <v>0.98059508408796892</v>
      </c>
      <c r="AQ26" s="7">
        <v>27948</v>
      </c>
      <c r="AR26" s="7">
        <v>22473</v>
      </c>
      <c r="AS26" s="4">
        <f t="shared" si="16"/>
        <v>5232</v>
      </c>
      <c r="AT26" s="6">
        <v>27705</v>
      </c>
      <c r="AU26" s="5">
        <f t="shared" si="17"/>
        <v>0.99130528123658224</v>
      </c>
      <c r="AV26" s="7">
        <v>14478</v>
      </c>
      <c r="AW26" s="7">
        <v>11257</v>
      </c>
      <c r="AX26" s="4">
        <f t="shared" si="18"/>
        <v>3133</v>
      </c>
      <c r="AY26" s="6">
        <v>14390</v>
      </c>
      <c r="AZ26" s="5">
        <f t="shared" si="19"/>
        <v>0.9939218124050283</v>
      </c>
      <c r="BA26" s="7">
        <v>14902</v>
      </c>
      <c r="BB26" s="7">
        <v>11466</v>
      </c>
      <c r="BC26" s="4">
        <f t="shared" si="20"/>
        <v>3033</v>
      </c>
      <c r="BD26" s="6">
        <v>14499</v>
      </c>
      <c r="BE26" s="5">
        <f t="shared" si="21"/>
        <v>0.97295665011407861</v>
      </c>
      <c r="BF26" s="7">
        <v>28105</v>
      </c>
      <c r="BG26" s="7">
        <v>21339</v>
      </c>
      <c r="BH26" s="4">
        <f t="shared" si="22"/>
        <v>6437</v>
      </c>
      <c r="BI26" s="6">
        <v>27776</v>
      </c>
      <c r="BJ26" s="5">
        <f t="shared" si="23"/>
        <v>0.98829389788293898</v>
      </c>
    </row>
    <row r="27" spans="1:62" x14ac:dyDescent="0.3">
      <c r="A27" s="18">
        <v>18</v>
      </c>
      <c r="B27" s="3" t="s">
        <v>23</v>
      </c>
      <c r="C27" s="7">
        <v>129137</v>
      </c>
      <c r="D27" s="6">
        <v>88534</v>
      </c>
      <c r="E27" s="4">
        <f t="shared" si="0"/>
        <v>36570</v>
      </c>
      <c r="F27" s="13">
        <v>125104</v>
      </c>
      <c r="G27" s="5">
        <f t="shared" si="1"/>
        <v>0.96876960127616407</v>
      </c>
      <c r="H27" s="7">
        <v>129298</v>
      </c>
      <c r="I27" s="6">
        <v>93665</v>
      </c>
      <c r="J27" s="4">
        <f t="shared" si="2"/>
        <v>32275</v>
      </c>
      <c r="K27" s="13">
        <v>125940</v>
      </c>
      <c r="L27" s="5">
        <f t="shared" si="3"/>
        <v>0.97402898730065435</v>
      </c>
      <c r="M27" s="7">
        <v>186733</v>
      </c>
      <c r="N27" s="6">
        <v>137548</v>
      </c>
      <c r="O27" s="4">
        <f t="shared" si="4"/>
        <v>47465</v>
      </c>
      <c r="P27" s="6">
        <v>185013</v>
      </c>
      <c r="Q27" s="5">
        <f t="shared" si="5"/>
        <v>0.99078898748480448</v>
      </c>
      <c r="R27" s="7">
        <v>126872</v>
      </c>
      <c r="S27" s="6">
        <v>93223</v>
      </c>
      <c r="T27" s="4">
        <f t="shared" si="6"/>
        <v>32341</v>
      </c>
      <c r="U27" s="13">
        <v>125564</v>
      </c>
      <c r="V27" s="5">
        <f t="shared" si="7"/>
        <v>0.98969039662021563</v>
      </c>
      <c r="W27" s="7">
        <v>129739</v>
      </c>
      <c r="X27" s="6">
        <v>92861</v>
      </c>
      <c r="Y27" s="4">
        <f t="shared" si="8"/>
        <v>33557</v>
      </c>
      <c r="Z27" s="13">
        <v>126418</v>
      </c>
      <c r="AA27" s="5">
        <f t="shared" si="9"/>
        <v>0.97440245415796334</v>
      </c>
      <c r="AB27" s="7">
        <v>188270</v>
      </c>
      <c r="AC27" s="7">
        <v>134331</v>
      </c>
      <c r="AD27" s="4">
        <f t="shared" si="10"/>
        <v>52016</v>
      </c>
      <c r="AE27" s="6">
        <v>186347</v>
      </c>
      <c r="AF27" s="5">
        <f t="shared" si="11"/>
        <v>0.98978594571625855</v>
      </c>
      <c r="AG27" s="7">
        <v>127800</v>
      </c>
      <c r="AH27" s="7">
        <v>92686</v>
      </c>
      <c r="AI27" s="4">
        <f t="shared" si="12"/>
        <v>33877</v>
      </c>
      <c r="AJ27" s="6">
        <v>126563</v>
      </c>
      <c r="AK27" s="5">
        <f t="shared" si="13"/>
        <v>0.99032081377151804</v>
      </c>
      <c r="AL27" s="7">
        <v>130262</v>
      </c>
      <c r="AM27" s="7">
        <v>96834</v>
      </c>
      <c r="AN27" s="4">
        <f t="shared" si="14"/>
        <v>30615</v>
      </c>
      <c r="AO27" s="6">
        <v>127449</v>
      </c>
      <c r="AP27" s="5">
        <f t="shared" si="15"/>
        <v>0.97840506057023535</v>
      </c>
      <c r="AQ27" s="7">
        <v>189830</v>
      </c>
      <c r="AR27" s="7">
        <v>143814</v>
      </c>
      <c r="AS27" s="4">
        <f t="shared" si="16"/>
        <v>44422</v>
      </c>
      <c r="AT27" s="6">
        <v>188236</v>
      </c>
      <c r="AU27" s="5">
        <f t="shared" si="17"/>
        <v>0.99160301322235689</v>
      </c>
      <c r="AV27" s="7">
        <v>128733</v>
      </c>
      <c r="AW27" s="7">
        <v>97741</v>
      </c>
      <c r="AX27" s="4">
        <f t="shared" si="18"/>
        <v>30448</v>
      </c>
      <c r="AY27" s="6">
        <v>128189</v>
      </c>
      <c r="AZ27" s="5">
        <f t="shared" si="19"/>
        <v>0.99577419931175382</v>
      </c>
      <c r="BA27" s="7">
        <v>132099</v>
      </c>
      <c r="BB27" s="7">
        <v>98676</v>
      </c>
      <c r="BC27" s="4">
        <f t="shared" si="20"/>
        <v>30851</v>
      </c>
      <c r="BD27" s="6">
        <v>129527</v>
      </c>
      <c r="BE27" s="5">
        <f t="shared" si="21"/>
        <v>0.98052975419950184</v>
      </c>
      <c r="BF27" s="7">
        <v>192460</v>
      </c>
      <c r="BG27" s="7">
        <v>126406</v>
      </c>
      <c r="BH27" s="4">
        <f t="shared" si="22"/>
        <v>63921</v>
      </c>
      <c r="BI27" s="6">
        <v>190327</v>
      </c>
      <c r="BJ27" s="5">
        <f t="shared" si="23"/>
        <v>0.98891717759534448</v>
      </c>
    </row>
    <row r="28" spans="1:62" x14ac:dyDescent="0.3">
      <c r="A28" s="18">
        <v>19</v>
      </c>
      <c r="B28" s="3" t="s">
        <v>24</v>
      </c>
      <c r="C28" s="7">
        <v>413342</v>
      </c>
      <c r="D28" s="6">
        <v>339845</v>
      </c>
      <c r="E28" s="4">
        <f t="shared" si="0"/>
        <v>69741</v>
      </c>
      <c r="F28" s="13">
        <v>409586</v>
      </c>
      <c r="G28" s="5">
        <f t="shared" si="1"/>
        <v>0.99091309375771153</v>
      </c>
      <c r="H28" s="7">
        <v>423216</v>
      </c>
      <c r="I28" s="6">
        <v>350053</v>
      </c>
      <c r="J28" s="4">
        <f t="shared" si="2"/>
        <v>63759</v>
      </c>
      <c r="K28" s="13">
        <v>413812</v>
      </c>
      <c r="L28" s="5">
        <f t="shared" si="3"/>
        <v>0.97777966806547956</v>
      </c>
      <c r="M28" s="7">
        <v>688530</v>
      </c>
      <c r="N28" s="6">
        <v>578163</v>
      </c>
      <c r="O28" s="4">
        <f t="shared" si="4"/>
        <v>102490</v>
      </c>
      <c r="P28" s="6">
        <v>680653</v>
      </c>
      <c r="Q28" s="5">
        <f t="shared" si="5"/>
        <v>0.98855968512628356</v>
      </c>
      <c r="R28" s="7">
        <v>417505</v>
      </c>
      <c r="S28" s="6">
        <v>348829</v>
      </c>
      <c r="T28" s="4">
        <f t="shared" si="6"/>
        <v>65317</v>
      </c>
      <c r="U28" s="13">
        <v>414146</v>
      </c>
      <c r="V28" s="5">
        <f t="shared" si="7"/>
        <v>0.99195458737021114</v>
      </c>
      <c r="W28" s="7">
        <v>426115</v>
      </c>
      <c r="X28" s="6">
        <v>348665</v>
      </c>
      <c r="Y28" s="4">
        <f t="shared" si="8"/>
        <v>67415</v>
      </c>
      <c r="Z28" s="13">
        <v>416080</v>
      </c>
      <c r="AA28" s="5">
        <f t="shared" si="9"/>
        <v>0.97645001936097064</v>
      </c>
      <c r="AB28" s="7">
        <v>693825</v>
      </c>
      <c r="AC28" s="7">
        <v>568065</v>
      </c>
      <c r="AD28" s="4">
        <f t="shared" si="10"/>
        <v>117701</v>
      </c>
      <c r="AE28" s="6">
        <v>685766</v>
      </c>
      <c r="AF28" s="5">
        <f t="shared" si="11"/>
        <v>0.98838467913378736</v>
      </c>
      <c r="AG28" s="7">
        <v>421441</v>
      </c>
      <c r="AH28" s="7">
        <v>343840</v>
      </c>
      <c r="AI28" s="4">
        <f t="shared" si="12"/>
        <v>72894</v>
      </c>
      <c r="AJ28" s="6">
        <v>416734</v>
      </c>
      <c r="AK28" s="5">
        <f t="shared" si="13"/>
        <v>0.98883117684325916</v>
      </c>
      <c r="AL28" s="7">
        <v>428935</v>
      </c>
      <c r="AM28" s="7">
        <v>359231</v>
      </c>
      <c r="AN28" s="4">
        <f t="shared" si="14"/>
        <v>61705</v>
      </c>
      <c r="AO28" s="6">
        <v>420936</v>
      </c>
      <c r="AP28" s="5">
        <f t="shared" si="15"/>
        <v>0.98135148682201268</v>
      </c>
      <c r="AQ28" s="7">
        <v>700018</v>
      </c>
      <c r="AR28" s="7">
        <v>599936</v>
      </c>
      <c r="AS28" s="4">
        <f t="shared" si="16"/>
        <v>94545</v>
      </c>
      <c r="AT28" s="6">
        <v>694481</v>
      </c>
      <c r="AU28" s="5">
        <f t="shared" si="17"/>
        <v>0.99209020339476983</v>
      </c>
      <c r="AV28" s="7">
        <v>428584</v>
      </c>
      <c r="AW28" s="7">
        <v>363417</v>
      </c>
      <c r="AX28" s="4">
        <f t="shared" si="18"/>
        <v>62896</v>
      </c>
      <c r="AY28" s="6">
        <v>426313</v>
      </c>
      <c r="AZ28" s="5">
        <f t="shared" si="19"/>
        <v>0.99470115543277393</v>
      </c>
      <c r="BA28" s="7">
        <v>438333</v>
      </c>
      <c r="BB28" s="7">
        <v>368451</v>
      </c>
      <c r="BC28" s="4">
        <f t="shared" si="20"/>
        <v>62744</v>
      </c>
      <c r="BD28" s="6">
        <v>431195</v>
      </c>
      <c r="BE28" s="5">
        <f t="shared" si="21"/>
        <v>0.98371557697002054</v>
      </c>
      <c r="BF28" s="7">
        <v>711748</v>
      </c>
      <c r="BG28" s="7">
        <v>567009</v>
      </c>
      <c r="BH28" s="4">
        <f t="shared" si="22"/>
        <v>137844</v>
      </c>
      <c r="BI28" s="6">
        <v>704853</v>
      </c>
      <c r="BJ28" s="5">
        <f t="shared" si="23"/>
        <v>0.99031258254325971</v>
      </c>
    </row>
    <row r="29" spans="1:62" x14ac:dyDescent="0.3">
      <c r="A29" s="18">
        <v>20</v>
      </c>
      <c r="B29" s="3" t="s">
        <v>25</v>
      </c>
      <c r="C29" s="7">
        <v>136794</v>
      </c>
      <c r="D29" s="6">
        <v>109513</v>
      </c>
      <c r="E29" s="4">
        <f t="shared" si="0"/>
        <v>25979</v>
      </c>
      <c r="F29" s="13">
        <v>135492</v>
      </c>
      <c r="G29" s="5">
        <f t="shared" si="1"/>
        <v>0.99048203868590723</v>
      </c>
      <c r="H29" s="7">
        <v>138439</v>
      </c>
      <c r="I29" s="6">
        <v>112379</v>
      </c>
      <c r="J29" s="4">
        <f t="shared" si="2"/>
        <v>24241</v>
      </c>
      <c r="K29" s="13">
        <v>136620</v>
      </c>
      <c r="L29" s="5">
        <f t="shared" si="3"/>
        <v>0.98686063898178977</v>
      </c>
      <c r="M29" s="7">
        <v>184711</v>
      </c>
      <c r="N29" s="6">
        <v>150102</v>
      </c>
      <c r="O29" s="4">
        <f t="shared" si="4"/>
        <v>32604</v>
      </c>
      <c r="P29" s="6">
        <v>182706</v>
      </c>
      <c r="Q29" s="5">
        <f t="shared" si="5"/>
        <v>0.98914520521246707</v>
      </c>
      <c r="R29" s="7">
        <v>138323</v>
      </c>
      <c r="S29" s="6">
        <v>109962</v>
      </c>
      <c r="T29" s="4">
        <f t="shared" si="6"/>
        <v>26854</v>
      </c>
      <c r="U29" s="13">
        <v>136816</v>
      </c>
      <c r="V29" s="5">
        <f t="shared" si="7"/>
        <v>0.98910521026871889</v>
      </c>
      <c r="W29" s="7">
        <v>139858</v>
      </c>
      <c r="X29" s="6">
        <v>111552</v>
      </c>
      <c r="Y29" s="4">
        <f t="shared" si="8"/>
        <v>25677</v>
      </c>
      <c r="Z29" s="13">
        <v>137229</v>
      </c>
      <c r="AA29" s="5">
        <f t="shared" si="9"/>
        <v>0.98120236239614467</v>
      </c>
      <c r="AB29" s="7">
        <v>187429</v>
      </c>
      <c r="AC29" s="7">
        <v>148100</v>
      </c>
      <c r="AD29" s="4">
        <f t="shared" si="10"/>
        <v>35963</v>
      </c>
      <c r="AE29" s="6">
        <v>184063</v>
      </c>
      <c r="AF29" s="5">
        <f t="shared" si="11"/>
        <v>0.98204119960091552</v>
      </c>
      <c r="AG29" s="7">
        <v>139419</v>
      </c>
      <c r="AH29" s="7">
        <v>99995</v>
      </c>
      <c r="AI29" s="4">
        <f t="shared" si="12"/>
        <v>37929</v>
      </c>
      <c r="AJ29" s="6">
        <v>137924</v>
      </c>
      <c r="AK29" s="5">
        <f t="shared" si="13"/>
        <v>0.98927692782188936</v>
      </c>
      <c r="AL29" s="7">
        <v>141276</v>
      </c>
      <c r="AM29" s="7">
        <v>115506</v>
      </c>
      <c r="AN29" s="4">
        <f t="shared" si="14"/>
        <v>23569</v>
      </c>
      <c r="AO29" s="6">
        <v>139075</v>
      </c>
      <c r="AP29" s="5">
        <f t="shared" si="15"/>
        <v>0.98442056683371559</v>
      </c>
      <c r="AQ29" s="7">
        <v>188424</v>
      </c>
      <c r="AR29" s="7">
        <v>157009</v>
      </c>
      <c r="AS29" s="4">
        <f t="shared" si="16"/>
        <v>29652</v>
      </c>
      <c r="AT29" s="6">
        <v>186661</v>
      </c>
      <c r="AU29" s="5">
        <f t="shared" si="17"/>
        <v>0.99064344244894498</v>
      </c>
      <c r="AV29" s="7">
        <v>141887</v>
      </c>
      <c r="AW29" s="7">
        <v>115589</v>
      </c>
      <c r="AX29" s="4">
        <f t="shared" si="18"/>
        <v>24840</v>
      </c>
      <c r="AY29" s="6">
        <v>140429</v>
      </c>
      <c r="AZ29" s="5">
        <f t="shared" si="19"/>
        <v>0.98972421715872494</v>
      </c>
      <c r="BA29" s="7">
        <v>143795</v>
      </c>
      <c r="BB29" s="7">
        <v>116136</v>
      </c>
      <c r="BC29" s="4">
        <f t="shared" si="20"/>
        <v>25346</v>
      </c>
      <c r="BD29" s="6">
        <v>141482</v>
      </c>
      <c r="BE29" s="5">
        <f t="shared" si="21"/>
        <v>0.98391460064675407</v>
      </c>
      <c r="BF29" s="7">
        <v>191754</v>
      </c>
      <c r="BG29" s="7">
        <v>145310</v>
      </c>
      <c r="BH29" s="4">
        <f t="shared" si="22"/>
        <v>43570</v>
      </c>
      <c r="BI29" s="6">
        <v>188880</v>
      </c>
      <c r="BJ29" s="5">
        <f t="shared" si="23"/>
        <v>0.9850120466848149</v>
      </c>
    </row>
    <row r="30" spans="1:62" x14ac:dyDescent="0.3">
      <c r="A30" s="18">
        <v>21</v>
      </c>
      <c r="B30" s="3" t="s">
        <v>26</v>
      </c>
      <c r="C30" s="7">
        <v>178246</v>
      </c>
      <c r="D30" s="6">
        <v>134673</v>
      </c>
      <c r="E30" s="4">
        <f t="shared" si="0"/>
        <v>41494</v>
      </c>
      <c r="F30" s="13">
        <v>176167</v>
      </c>
      <c r="G30" s="5">
        <f t="shared" si="1"/>
        <v>0.98833634415358551</v>
      </c>
      <c r="H30" s="7">
        <v>181910</v>
      </c>
      <c r="I30" s="6">
        <v>139269</v>
      </c>
      <c r="J30" s="4">
        <f t="shared" si="2"/>
        <v>39034</v>
      </c>
      <c r="K30" s="13">
        <v>178303</v>
      </c>
      <c r="L30" s="5">
        <f t="shared" si="3"/>
        <v>0.98017151338574016</v>
      </c>
      <c r="M30" s="7">
        <v>304709</v>
      </c>
      <c r="N30" s="6">
        <v>239271</v>
      </c>
      <c r="O30" s="4">
        <f t="shared" si="4"/>
        <v>61473</v>
      </c>
      <c r="P30" s="6">
        <v>300744</v>
      </c>
      <c r="Q30" s="5">
        <f t="shared" si="5"/>
        <v>0.98698758487606209</v>
      </c>
      <c r="R30" s="7">
        <v>179361</v>
      </c>
      <c r="S30" s="6">
        <v>140387</v>
      </c>
      <c r="T30" s="4">
        <f t="shared" si="6"/>
        <v>37581</v>
      </c>
      <c r="U30" s="13">
        <v>177968</v>
      </c>
      <c r="V30" s="5">
        <f t="shared" si="7"/>
        <v>0.99223354017874565</v>
      </c>
      <c r="W30" s="7">
        <v>184404</v>
      </c>
      <c r="X30" s="6">
        <v>140533</v>
      </c>
      <c r="Y30" s="4">
        <f t="shared" si="8"/>
        <v>38590</v>
      </c>
      <c r="Z30" s="13">
        <v>179123</v>
      </c>
      <c r="AA30" s="5">
        <f t="shared" si="9"/>
        <v>0.9713617925858441</v>
      </c>
      <c r="AB30" s="7">
        <v>307610</v>
      </c>
      <c r="AC30" s="7">
        <v>237196</v>
      </c>
      <c r="AD30" s="4">
        <f t="shared" si="10"/>
        <v>66406</v>
      </c>
      <c r="AE30" s="6">
        <v>303602</v>
      </c>
      <c r="AF30" s="5">
        <f t="shared" si="11"/>
        <v>0.98697051461265883</v>
      </c>
      <c r="AG30" s="7">
        <v>180656</v>
      </c>
      <c r="AH30" s="7">
        <v>140326</v>
      </c>
      <c r="AI30" s="4">
        <f t="shared" si="12"/>
        <v>38570</v>
      </c>
      <c r="AJ30" s="6">
        <v>178896</v>
      </c>
      <c r="AK30" s="5">
        <f t="shared" si="13"/>
        <v>0.99025772739349927</v>
      </c>
      <c r="AL30" s="7">
        <v>185185</v>
      </c>
      <c r="AM30" s="7">
        <v>147221</v>
      </c>
      <c r="AN30" s="4">
        <f t="shared" si="14"/>
        <v>34415</v>
      </c>
      <c r="AO30" s="6">
        <v>181636</v>
      </c>
      <c r="AP30" s="5">
        <f t="shared" si="15"/>
        <v>0.9808353808353808</v>
      </c>
      <c r="AQ30" s="7">
        <v>311830</v>
      </c>
      <c r="AR30" s="7">
        <v>252935</v>
      </c>
      <c r="AS30" s="4">
        <f t="shared" si="16"/>
        <v>55588</v>
      </c>
      <c r="AT30" s="6">
        <v>308523</v>
      </c>
      <c r="AU30" s="5">
        <f t="shared" si="17"/>
        <v>0.98939486258538301</v>
      </c>
      <c r="AV30" s="7">
        <v>184055</v>
      </c>
      <c r="AW30" s="7">
        <v>145943</v>
      </c>
      <c r="AX30" s="4">
        <f t="shared" si="18"/>
        <v>36604</v>
      </c>
      <c r="AY30" s="6">
        <v>182547</v>
      </c>
      <c r="AZ30" s="5">
        <f t="shared" si="19"/>
        <v>0.99180679688136697</v>
      </c>
      <c r="BA30" s="7">
        <v>188792</v>
      </c>
      <c r="BB30" s="7">
        <v>147880</v>
      </c>
      <c r="BC30" s="4">
        <f t="shared" si="20"/>
        <v>36917</v>
      </c>
      <c r="BD30" s="6">
        <v>184797</v>
      </c>
      <c r="BE30" s="5">
        <f t="shared" si="21"/>
        <v>0.97883914572651387</v>
      </c>
      <c r="BF30" s="7">
        <v>315967</v>
      </c>
      <c r="BG30" s="7">
        <v>233707</v>
      </c>
      <c r="BH30" s="4">
        <f t="shared" si="22"/>
        <v>78906</v>
      </c>
      <c r="BI30" s="6">
        <v>312613</v>
      </c>
      <c r="BJ30" s="5">
        <f t="shared" si="23"/>
        <v>0.9893849674174835</v>
      </c>
    </row>
    <row r="31" spans="1:62" x14ac:dyDescent="0.3">
      <c r="A31" s="18">
        <v>22</v>
      </c>
      <c r="B31" s="3" t="s">
        <v>27</v>
      </c>
      <c r="C31" s="7">
        <v>78665</v>
      </c>
      <c r="D31" s="6">
        <v>57385</v>
      </c>
      <c r="E31" s="4">
        <f t="shared" si="0"/>
        <v>21557</v>
      </c>
      <c r="F31" s="13">
        <v>78942</v>
      </c>
      <c r="G31" s="5">
        <f t="shared" si="1"/>
        <v>1.0035212610436661</v>
      </c>
      <c r="H31" s="7">
        <v>80911</v>
      </c>
      <c r="I31" s="6">
        <v>61692</v>
      </c>
      <c r="J31" s="4">
        <f t="shared" si="2"/>
        <v>18823</v>
      </c>
      <c r="K31" s="13">
        <v>80515</v>
      </c>
      <c r="L31" s="5">
        <f t="shared" si="3"/>
        <v>0.99510573346022169</v>
      </c>
      <c r="M31" s="7">
        <v>142260</v>
      </c>
      <c r="N31" s="6">
        <v>104537</v>
      </c>
      <c r="O31" s="4">
        <f t="shared" si="4"/>
        <v>37832</v>
      </c>
      <c r="P31" s="6">
        <v>142369</v>
      </c>
      <c r="Q31" s="5">
        <f t="shared" si="5"/>
        <v>1.0007662027274005</v>
      </c>
      <c r="R31" s="7">
        <v>79665</v>
      </c>
      <c r="S31" s="6">
        <v>59346</v>
      </c>
      <c r="T31" s="4">
        <f t="shared" si="6"/>
        <v>20798</v>
      </c>
      <c r="U31" s="13">
        <v>80144</v>
      </c>
      <c r="V31" s="5">
        <f t="shared" si="7"/>
        <v>1.0060126780894998</v>
      </c>
      <c r="W31" s="7">
        <v>81657</v>
      </c>
      <c r="X31" s="6">
        <v>60017</v>
      </c>
      <c r="Y31" s="4">
        <f t="shared" si="8"/>
        <v>20834</v>
      </c>
      <c r="Z31" s="13">
        <v>80851</v>
      </c>
      <c r="AA31" s="5">
        <f t="shared" si="9"/>
        <v>0.99012944389335877</v>
      </c>
      <c r="AB31" s="7">
        <v>144167</v>
      </c>
      <c r="AC31" s="7">
        <v>104637</v>
      </c>
      <c r="AD31" s="4">
        <f t="shared" si="10"/>
        <v>39570</v>
      </c>
      <c r="AE31" s="6">
        <v>144207</v>
      </c>
      <c r="AF31" s="5">
        <f t="shared" si="11"/>
        <v>1.000277456005882</v>
      </c>
      <c r="AG31" s="7">
        <v>80917</v>
      </c>
      <c r="AH31" s="7">
        <v>60680</v>
      </c>
      <c r="AI31" s="4">
        <f t="shared" si="12"/>
        <v>20972</v>
      </c>
      <c r="AJ31" s="6">
        <v>81652</v>
      </c>
      <c r="AK31" s="5">
        <f t="shared" si="13"/>
        <v>1.0090833817368414</v>
      </c>
      <c r="AL31" s="7">
        <v>83546</v>
      </c>
      <c r="AM31" s="7">
        <v>64690</v>
      </c>
      <c r="AN31" s="4">
        <f t="shared" si="14"/>
        <v>18114</v>
      </c>
      <c r="AO31" s="6">
        <v>82804</v>
      </c>
      <c r="AP31" s="5">
        <f t="shared" si="15"/>
        <v>0.99111866516649505</v>
      </c>
      <c r="AQ31" s="7">
        <v>147023</v>
      </c>
      <c r="AR31" s="7">
        <v>113955</v>
      </c>
      <c r="AS31" s="4">
        <f t="shared" si="16"/>
        <v>32903</v>
      </c>
      <c r="AT31" s="6">
        <v>146858</v>
      </c>
      <c r="AU31" s="5">
        <f t="shared" si="17"/>
        <v>0.99887772661420327</v>
      </c>
      <c r="AV31" s="7">
        <v>81694</v>
      </c>
      <c r="AW31" s="7">
        <v>63975</v>
      </c>
      <c r="AX31" s="4">
        <f t="shared" si="18"/>
        <v>18545</v>
      </c>
      <c r="AY31" s="6">
        <v>82520</v>
      </c>
      <c r="AZ31" s="5">
        <f t="shared" si="19"/>
        <v>1.0101109016574044</v>
      </c>
      <c r="BA31" s="7">
        <v>83957</v>
      </c>
      <c r="BB31" s="7">
        <v>65148</v>
      </c>
      <c r="BC31" s="4">
        <f t="shared" si="20"/>
        <v>18365</v>
      </c>
      <c r="BD31" s="6">
        <v>83513</v>
      </c>
      <c r="BE31" s="5">
        <f t="shared" si="21"/>
        <v>0.99471157854616055</v>
      </c>
      <c r="BF31" s="7">
        <v>148810</v>
      </c>
      <c r="BG31" s="7">
        <v>98790</v>
      </c>
      <c r="BH31" s="4">
        <f t="shared" si="22"/>
        <v>49957</v>
      </c>
      <c r="BI31" s="6">
        <v>148747</v>
      </c>
      <c r="BJ31" s="5">
        <f t="shared" si="23"/>
        <v>0.99957664135474766</v>
      </c>
    </row>
    <row r="32" spans="1:62" x14ac:dyDescent="0.3">
      <c r="A32" s="18">
        <v>23</v>
      </c>
      <c r="B32" s="3" t="s">
        <v>28</v>
      </c>
      <c r="C32" s="7">
        <v>219593</v>
      </c>
      <c r="D32" s="6">
        <v>171064</v>
      </c>
      <c r="E32" s="4">
        <f t="shared" si="0"/>
        <v>47028</v>
      </c>
      <c r="F32" s="13">
        <v>218092</v>
      </c>
      <c r="G32" s="5">
        <f t="shared" si="1"/>
        <v>0.99316462728775512</v>
      </c>
      <c r="H32" s="7">
        <v>225984</v>
      </c>
      <c r="I32" s="6">
        <v>180221</v>
      </c>
      <c r="J32" s="4">
        <f t="shared" si="2"/>
        <v>42346</v>
      </c>
      <c r="K32" s="13">
        <v>222567</v>
      </c>
      <c r="L32" s="5">
        <f t="shared" si="3"/>
        <v>0.9848794604927783</v>
      </c>
      <c r="M32" s="7">
        <v>469379</v>
      </c>
      <c r="N32" s="6">
        <v>365727</v>
      </c>
      <c r="O32" s="4">
        <f t="shared" si="4"/>
        <v>100007</v>
      </c>
      <c r="P32" s="6">
        <v>465734</v>
      </c>
      <c r="Q32" s="5">
        <f t="shared" si="5"/>
        <v>0.99223442037244958</v>
      </c>
      <c r="R32" s="7">
        <v>220673</v>
      </c>
      <c r="S32" s="6">
        <v>172249</v>
      </c>
      <c r="T32" s="4">
        <f t="shared" si="6"/>
        <v>47665</v>
      </c>
      <c r="U32" s="13">
        <v>219914</v>
      </c>
      <c r="V32" s="5">
        <f t="shared" si="7"/>
        <v>0.99656052167687026</v>
      </c>
      <c r="W32" s="7">
        <v>228851</v>
      </c>
      <c r="X32" s="6">
        <v>174950</v>
      </c>
      <c r="Y32" s="4">
        <f t="shared" si="8"/>
        <v>47995</v>
      </c>
      <c r="Z32" s="13">
        <v>222945</v>
      </c>
      <c r="AA32" s="5">
        <f t="shared" si="9"/>
        <v>0.97419281541264835</v>
      </c>
      <c r="AB32" s="7">
        <v>476427</v>
      </c>
      <c r="AC32" s="7">
        <v>365134</v>
      </c>
      <c r="AD32" s="4">
        <f t="shared" si="10"/>
        <v>106409</v>
      </c>
      <c r="AE32" s="6">
        <v>471543</v>
      </c>
      <c r="AF32" s="5">
        <f t="shared" si="11"/>
        <v>0.98974869182477065</v>
      </c>
      <c r="AG32" s="7">
        <v>224544</v>
      </c>
      <c r="AH32" s="7">
        <v>177084</v>
      </c>
      <c r="AI32" s="4">
        <f t="shared" si="12"/>
        <v>46587</v>
      </c>
      <c r="AJ32" s="6">
        <v>223671</v>
      </c>
      <c r="AK32" s="5">
        <f t="shared" si="13"/>
        <v>0.99611212056434373</v>
      </c>
      <c r="AL32" s="7">
        <v>231787</v>
      </c>
      <c r="AM32" s="7">
        <v>187726</v>
      </c>
      <c r="AN32" s="4">
        <f t="shared" si="14"/>
        <v>39669</v>
      </c>
      <c r="AO32" s="6">
        <v>227395</v>
      </c>
      <c r="AP32" s="5">
        <f t="shared" si="15"/>
        <v>0.9810515688973066</v>
      </c>
      <c r="AQ32" s="7">
        <v>484390</v>
      </c>
      <c r="AR32" s="7">
        <v>399400</v>
      </c>
      <c r="AS32" s="4">
        <f t="shared" si="16"/>
        <v>80747</v>
      </c>
      <c r="AT32" s="6">
        <v>480147</v>
      </c>
      <c r="AU32" s="5">
        <f t="shared" si="17"/>
        <v>0.99124052932554352</v>
      </c>
      <c r="AV32" s="7">
        <v>227629</v>
      </c>
      <c r="AW32" s="7">
        <v>186682</v>
      </c>
      <c r="AX32" s="4">
        <f t="shared" si="18"/>
        <v>40794</v>
      </c>
      <c r="AY32" s="6">
        <v>227476</v>
      </c>
      <c r="AZ32" s="5">
        <f t="shared" si="19"/>
        <v>0.99932785365660792</v>
      </c>
      <c r="BA32" s="7">
        <v>234918</v>
      </c>
      <c r="BB32" s="7">
        <v>188179</v>
      </c>
      <c r="BC32" s="4">
        <f t="shared" si="20"/>
        <v>43610</v>
      </c>
      <c r="BD32" s="6">
        <v>231789</v>
      </c>
      <c r="BE32" s="5">
        <f t="shared" si="21"/>
        <v>0.98668045871325316</v>
      </c>
      <c r="BF32" s="7">
        <v>492680</v>
      </c>
      <c r="BG32" s="7">
        <v>356936</v>
      </c>
      <c r="BH32" s="4">
        <f t="shared" si="22"/>
        <v>132094</v>
      </c>
      <c r="BI32" s="6">
        <v>489030</v>
      </c>
      <c r="BJ32" s="5">
        <f t="shared" si="23"/>
        <v>0.9925915401477633</v>
      </c>
    </row>
    <row r="33" spans="1:62" x14ac:dyDescent="0.3">
      <c r="A33" s="18">
        <v>24</v>
      </c>
      <c r="B33" s="3" t="s">
        <v>29</v>
      </c>
      <c r="C33" s="7">
        <v>663412</v>
      </c>
      <c r="D33" s="6">
        <v>588449</v>
      </c>
      <c r="E33" s="20">
        <f t="shared" si="0"/>
        <v>75744</v>
      </c>
      <c r="F33" s="13">
        <v>664193</v>
      </c>
      <c r="G33" s="21">
        <f t="shared" si="1"/>
        <v>1.0011772473214231</v>
      </c>
      <c r="H33" s="7">
        <v>674602</v>
      </c>
      <c r="I33" s="6">
        <v>603223</v>
      </c>
      <c r="J33" s="20">
        <f t="shared" si="2"/>
        <v>68660</v>
      </c>
      <c r="K33" s="13">
        <v>671883</v>
      </c>
      <c r="L33" s="21">
        <f t="shared" si="3"/>
        <v>0.99596947533508651</v>
      </c>
      <c r="M33" s="7">
        <v>1077651</v>
      </c>
      <c r="N33" s="6">
        <v>947389</v>
      </c>
      <c r="O33" s="20">
        <f t="shared" si="4"/>
        <v>129365</v>
      </c>
      <c r="P33" s="6">
        <v>1076754</v>
      </c>
      <c r="Q33" s="21">
        <f t="shared" si="5"/>
        <v>0.99916763404849995</v>
      </c>
      <c r="R33" s="7">
        <v>670885</v>
      </c>
      <c r="S33" s="6">
        <v>592882</v>
      </c>
      <c r="T33" s="20">
        <f t="shared" si="6"/>
        <v>79547</v>
      </c>
      <c r="U33" s="13">
        <v>672429</v>
      </c>
      <c r="V33" s="21">
        <f t="shared" si="7"/>
        <v>1.0023014376532491</v>
      </c>
      <c r="W33" s="7">
        <v>679851</v>
      </c>
      <c r="X33" s="6">
        <v>602785</v>
      </c>
      <c r="Y33" s="20">
        <f t="shared" si="8"/>
        <v>75647</v>
      </c>
      <c r="Z33" s="13">
        <v>678432</v>
      </c>
      <c r="AA33" s="21">
        <f t="shared" si="9"/>
        <v>0.99791277794693245</v>
      </c>
      <c r="AB33" s="7">
        <v>1091619</v>
      </c>
      <c r="AC33" s="7">
        <v>952994</v>
      </c>
      <c r="AD33" s="20">
        <f t="shared" si="10"/>
        <v>137477</v>
      </c>
      <c r="AE33" s="6">
        <v>1090471</v>
      </c>
      <c r="AF33" s="21">
        <f t="shared" si="11"/>
        <v>0.99894835102723567</v>
      </c>
      <c r="AG33" s="7">
        <v>681949</v>
      </c>
      <c r="AH33" s="7">
        <v>598311</v>
      </c>
      <c r="AI33" s="20">
        <f t="shared" si="12"/>
        <v>85485</v>
      </c>
      <c r="AJ33" s="6">
        <v>683796</v>
      </c>
      <c r="AK33" s="21">
        <f t="shared" si="13"/>
        <v>1.0027084136790287</v>
      </c>
      <c r="AL33" s="7">
        <v>691548</v>
      </c>
      <c r="AM33" s="7">
        <v>622925</v>
      </c>
      <c r="AN33" s="20">
        <f t="shared" si="14"/>
        <v>66414</v>
      </c>
      <c r="AO33" s="6">
        <v>689339</v>
      </c>
      <c r="AP33" s="21">
        <f t="shared" si="15"/>
        <v>0.99680571702904208</v>
      </c>
      <c r="AQ33" s="7">
        <v>1107071</v>
      </c>
      <c r="AR33" s="7">
        <v>996643</v>
      </c>
      <c r="AS33" s="20">
        <f t="shared" si="16"/>
        <v>112006</v>
      </c>
      <c r="AT33" s="6">
        <v>1108649</v>
      </c>
      <c r="AU33" s="21">
        <f t="shared" si="17"/>
        <v>1.0014253828345245</v>
      </c>
      <c r="AV33" s="7">
        <v>697202</v>
      </c>
      <c r="AW33" s="7">
        <v>630348</v>
      </c>
      <c r="AX33" s="20">
        <f t="shared" si="18"/>
        <v>69792</v>
      </c>
      <c r="AY33" s="6">
        <v>700140</v>
      </c>
      <c r="AZ33" s="21">
        <f t="shared" si="19"/>
        <v>1.0042139867642377</v>
      </c>
      <c r="BA33" s="7">
        <v>707985</v>
      </c>
      <c r="BB33" s="7">
        <v>640129</v>
      </c>
      <c r="BC33" s="20">
        <f t="shared" si="20"/>
        <v>69437</v>
      </c>
      <c r="BD33" s="6">
        <v>709566</v>
      </c>
      <c r="BE33" s="21">
        <f t="shared" si="21"/>
        <v>1.0022330981588592</v>
      </c>
      <c r="BF33" s="7">
        <v>1132408</v>
      </c>
      <c r="BG33" s="7">
        <v>958450</v>
      </c>
      <c r="BH33" s="20">
        <f t="shared" si="22"/>
        <v>174286</v>
      </c>
      <c r="BI33" s="6">
        <v>1132736</v>
      </c>
      <c r="BJ33" s="21">
        <f t="shared" si="23"/>
        <v>1.0002896482539863</v>
      </c>
    </row>
    <row r="34" spans="1:62" x14ac:dyDescent="0.3">
      <c r="A34" s="18">
        <v>25</v>
      </c>
      <c r="B34" s="3" t="s">
        <v>30</v>
      </c>
      <c r="C34" s="14">
        <v>1</v>
      </c>
      <c r="D34" s="14">
        <v>0</v>
      </c>
      <c r="E34" s="14" t="s">
        <v>47</v>
      </c>
      <c r="F34" s="14">
        <v>0</v>
      </c>
      <c r="G34" s="14" t="s">
        <v>47</v>
      </c>
      <c r="H34" s="14">
        <v>0</v>
      </c>
      <c r="I34" s="14">
        <v>0</v>
      </c>
      <c r="J34" s="14" t="s">
        <v>47</v>
      </c>
      <c r="K34" s="14">
        <v>0</v>
      </c>
      <c r="L34" s="14" t="s">
        <v>47</v>
      </c>
      <c r="M34" s="14">
        <v>0</v>
      </c>
      <c r="N34" s="14">
        <v>0</v>
      </c>
      <c r="O34" s="14" t="s">
        <v>47</v>
      </c>
      <c r="P34" s="6">
        <v>0</v>
      </c>
      <c r="Q34" s="14" t="s">
        <v>47</v>
      </c>
      <c r="R34" s="14">
        <v>0</v>
      </c>
      <c r="S34" s="14">
        <v>0</v>
      </c>
      <c r="T34" s="14" t="s">
        <v>47</v>
      </c>
      <c r="U34" s="14">
        <v>0</v>
      </c>
      <c r="V34" s="14" t="s">
        <v>47</v>
      </c>
      <c r="W34" s="14">
        <v>0</v>
      </c>
      <c r="X34" s="14">
        <v>0</v>
      </c>
      <c r="Y34" s="14" t="s">
        <v>47</v>
      </c>
      <c r="Z34" s="14">
        <v>0</v>
      </c>
      <c r="AA34" s="14" t="s">
        <v>47</v>
      </c>
      <c r="AB34" s="14">
        <v>0</v>
      </c>
      <c r="AC34" s="14">
        <v>0</v>
      </c>
      <c r="AD34" s="14" t="s">
        <v>47</v>
      </c>
      <c r="AE34" s="6">
        <v>0</v>
      </c>
      <c r="AF34" s="14" t="s">
        <v>47</v>
      </c>
      <c r="AG34" s="14">
        <v>0</v>
      </c>
      <c r="AH34" s="14">
        <v>0</v>
      </c>
      <c r="AI34" s="14" t="s">
        <v>47</v>
      </c>
      <c r="AJ34" s="6">
        <v>0</v>
      </c>
      <c r="AK34" s="14" t="s">
        <v>47</v>
      </c>
      <c r="AL34" s="14">
        <v>0</v>
      </c>
      <c r="AM34" s="14">
        <v>0</v>
      </c>
      <c r="AN34" s="14" t="s">
        <v>47</v>
      </c>
      <c r="AO34" s="6">
        <v>0</v>
      </c>
      <c r="AP34" s="14" t="s">
        <v>47</v>
      </c>
      <c r="AQ34" s="14">
        <v>0</v>
      </c>
      <c r="AR34" s="14">
        <v>0</v>
      </c>
      <c r="AS34" s="14" t="s">
        <v>47</v>
      </c>
      <c r="AT34" s="6">
        <v>0</v>
      </c>
      <c r="AU34" s="14" t="s">
        <v>47</v>
      </c>
      <c r="AV34" s="14">
        <v>0</v>
      </c>
      <c r="AW34" s="14">
        <v>0</v>
      </c>
      <c r="AX34" s="14" t="s">
        <v>47</v>
      </c>
      <c r="AY34" s="6">
        <v>0</v>
      </c>
      <c r="AZ34" s="14" t="s">
        <v>47</v>
      </c>
      <c r="BA34" s="14">
        <v>0</v>
      </c>
      <c r="BB34" s="14">
        <v>0</v>
      </c>
      <c r="BC34" s="14" t="s">
        <v>47</v>
      </c>
      <c r="BD34" s="6">
        <v>0</v>
      </c>
      <c r="BE34" s="14" t="s">
        <v>47</v>
      </c>
      <c r="BF34" s="14">
        <v>1</v>
      </c>
      <c r="BG34" s="14">
        <v>0</v>
      </c>
      <c r="BH34" s="14" t="s">
        <v>47</v>
      </c>
      <c r="BI34" s="6">
        <v>0</v>
      </c>
      <c r="BJ34" s="14" t="s">
        <v>47</v>
      </c>
    </row>
    <row r="35" spans="1:62" x14ac:dyDescent="0.3">
      <c r="A35" s="18">
        <v>26</v>
      </c>
      <c r="B35" s="3" t="s">
        <v>31</v>
      </c>
      <c r="C35" s="7">
        <v>11992</v>
      </c>
      <c r="D35" s="6">
        <v>9690</v>
      </c>
      <c r="E35" s="4">
        <f t="shared" ref="E35:E48" si="24">F35-D35</f>
        <v>2219</v>
      </c>
      <c r="F35" s="13">
        <v>11909</v>
      </c>
      <c r="G35" s="5">
        <f t="shared" ref="G35:G48" si="25">F35/C35</f>
        <v>0.99307871914609736</v>
      </c>
      <c r="H35" s="7">
        <v>12014</v>
      </c>
      <c r="I35" s="6">
        <v>9890</v>
      </c>
      <c r="J35" s="4">
        <f t="shared" ref="J35:J48" si="26">K35-I35</f>
        <v>2050</v>
      </c>
      <c r="K35" s="13">
        <v>11940</v>
      </c>
      <c r="L35" s="5">
        <f t="shared" ref="L35:L48" si="27">K35/H35</f>
        <v>0.99384051939404028</v>
      </c>
      <c r="M35" s="7">
        <v>14733</v>
      </c>
      <c r="N35" s="6">
        <v>12007</v>
      </c>
      <c r="O35" s="4">
        <f t="shared" ref="O35:O48" si="28">P35-N35</f>
        <v>2655</v>
      </c>
      <c r="P35" s="6">
        <v>14662</v>
      </c>
      <c r="Q35" s="5">
        <f t="shared" ref="Q35:Q48" si="29">P35/M35</f>
        <v>0.99518088644539471</v>
      </c>
      <c r="R35" s="7">
        <v>12053</v>
      </c>
      <c r="S35" s="6">
        <v>9721</v>
      </c>
      <c r="T35" s="4">
        <f t="shared" ref="T35:T48" si="30">U35-S35</f>
        <v>2251</v>
      </c>
      <c r="U35" s="13">
        <v>11972</v>
      </c>
      <c r="V35" s="5">
        <f t="shared" ref="V35:V48" si="31">U35/R35</f>
        <v>0.99327968140711853</v>
      </c>
      <c r="W35" s="7">
        <v>12107</v>
      </c>
      <c r="X35" s="6">
        <v>9861</v>
      </c>
      <c r="Y35" s="4">
        <f t="shared" ref="Y35:Y48" si="32">Z35-X35</f>
        <v>2118</v>
      </c>
      <c r="Z35" s="13">
        <v>11979</v>
      </c>
      <c r="AA35" s="5">
        <f t="shared" ref="AA35:AA48" si="33">Z35/W35</f>
        <v>0.9894276038655323</v>
      </c>
      <c r="AB35" s="7">
        <v>14785</v>
      </c>
      <c r="AC35" s="7">
        <v>11798</v>
      </c>
      <c r="AD35" s="4">
        <f t="shared" ref="AD35:AD48" si="34">AE35-AC35</f>
        <v>2887</v>
      </c>
      <c r="AE35" s="6">
        <v>14685</v>
      </c>
      <c r="AF35" s="5">
        <f t="shared" ref="AF35:AF48" si="35">AE35/AB35</f>
        <v>0.99323638823131555</v>
      </c>
      <c r="AG35" s="7">
        <v>12076</v>
      </c>
      <c r="AH35" s="7">
        <v>9709</v>
      </c>
      <c r="AI35" s="4">
        <f t="shared" si="12"/>
        <v>2323</v>
      </c>
      <c r="AJ35" s="6">
        <v>12032</v>
      </c>
      <c r="AK35" s="5">
        <f t="shared" ref="AK35:AK47" si="36">AJ35/AG35</f>
        <v>0.99635640940708847</v>
      </c>
      <c r="AL35" s="7">
        <v>12179</v>
      </c>
      <c r="AM35" s="7">
        <v>10117</v>
      </c>
      <c r="AN35" s="4">
        <f t="shared" ref="AN35:AN48" si="37">AO35-AM35</f>
        <v>1971</v>
      </c>
      <c r="AO35" s="6">
        <v>12088</v>
      </c>
      <c r="AP35" s="5">
        <f t="shared" ref="AP35:AP48" si="38">AO35/AL35</f>
        <v>0.99252812217751873</v>
      </c>
      <c r="AQ35" s="7">
        <v>14849</v>
      </c>
      <c r="AR35" s="7">
        <v>12479</v>
      </c>
      <c r="AS35" s="4">
        <f t="shared" ref="AS35:AS48" si="39">AT35-AR35</f>
        <v>2347</v>
      </c>
      <c r="AT35" s="6">
        <v>14826</v>
      </c>
      <c r="AU35" s="5">
        <f t="shared" ref="AU35:AU48" si="40">AT35/AQ35</f>
        <v>0.99845107414640721</v>
      </c>
      <c r="AV35" s="7">
        <v>12178</v>
      </c>
      <c r="AW35" s="7">
        <v>10119</v>
      </c>
      <c r="AX35" s="4">
        <f t="shared" ref="AX35:AX48" si="41">AY35-AW35</f>
        <v>2071</v>
      </c>
      <c r="AY35" s="6">
        <v>12190</v>
      </c>
      <c r="AZ35" s="5">
        <f t="shared" ref="AZ35:AZ48" si="42">AY35/AV35</f>
        <v>1.0009853834784037</v>
      </c>
      <c r="BA35" s="7">
        <v>12308</v>
      </c>
      <c r="BB35" s="7">
        <v>10234</v>
      </c>
      <c r="BC35" s="4">
        <f t="shared" ref="BC35:BC48" si="43">BD35-BB35</f>
        <v>2007</v>
      </c>
      <c r="BD35" s="6">
        <v>12241</v>
      </c>
      <c r="BE35" s="5">
        <f t="shared" ref="BE35:BE48" si="44">BD35/BA35</f>
        <v>0.99455638609034769</v>
      </c>
      <c r="BF35" s="7">
        <v>15013</v>
      </c>
      <c r="BG35" s="7">
        <v>11640</v>
      </c>
      <c r="BH35" s="4">
        <f t="shared" ref="BH35:BH48" si="45">BI35-BG35</f>
        <v>3303</v>
      </c>
      <c r="BI35" s="6">
        <v>14943</v>
      </c>
      <c r="BJ35" s="5">
        <f t="shared" ref="BJ35:BJ48" si="46">BI35/BF35</f>
        <v>0.99533737427562774</v>
      </c>
    </row>
    <row r="36" spans="1:62" x14ac:dyDescent="0.3">
      <c r="A36" s="18">
        <v>27</v>
      </c>
      <c r="B36" s="3" t="s">
        <v>32</v>
      </c>
      <c r="C36" s="7">
        <v>894870</v>
      </c>
      <c r="D36" s="6">
        <v>701684</v>
      </c>
      <c r="E36" s="4">
        <f t="shared" si="24"/>
        <v>186610</v>
      </c>
      <c r="F36" s="13">
        <v>888294</v>
      </c>
      <c r="G36" s="5">
        <f t="shared" si="25"/>
        <v>0.99265144657883264</v>
      </c>
      <c r="H36" s="7">
        <v>910737</v>
      </c>
      <c r="I36" s="6">
        <v>736797</v>
      </c>
      <c r="J36" s="4">
        <f t="shared" si="26"/>
        <v>161755</v>
      </c>
      <c r="K36" s="13">
        <v>898552</v>
      </c>
      <c r="L36" s="5">
        <f t="shared" si="27"/>
        <v>0.98662072585170035</v>
      </c>
      <c r="M36" s="7">
        <v>1579599</v>
      </c>
      <c r="N36" s="6">
        <v>1248826</v>
      </c>
      <c r="O36" s="4">
        <f t="shared" si="28"/>
        <v>319161</v>
      </c>
      <c r="P36" s="6">
        <v>1567987</v>
      </c>
      <c r="Q36" s="5">
        <f t="shared" si="29"/>
        <v>0.99264876718711526</v>
      </c>
      <c r="R36" s="7">
        <v>901122</v>
      </c>
      <c r="S36" s="6">
        <v>724296</v>
      </c>
      <c r="T36" s="4">
        <f t="shared" si="30"/>
        <v>174232</v>
      </c>
      <c r="U36" s="13">
        <v>898528</v>
      </c>
      <c r="V36" s="5">
        <f t="shared" si="31"/>
        <v>0.99712136647423988</v>
      </c>
      <c r="W36" s="7">
        <v>923866</v>
      </c>
      <c r="X36" s="6">
        <v>729229</v>
      </c>
      <c r="Y36" s="4">
        <f t="shared" si="32"/>
        <v>178214</v>
      </c>
      <c r="Z36" s="13">
        <v>907443</v>
      </c>
      <c r="AA36" s="5">
        <f t="shared" si="33"/>
        <v>0.98222361251523493</v>
      </c>
      <c r="AB36" s="7">
        <v>1592928</v>
      </c>
      <c r="AC36" s="7">
        <v>1248289</v>
      </c>
      <c r="AD36" s="4">
        <f t="shared" si="34"/>
        <v>336614</v>
      </c>
      <c r="AE36" s="6">
        <v>1584903</v>
      </c>
      <c r="AF36" s="5">
        <f t="shared" si="35"/>
        <v>0.9949621075152173</v>
      </c>
      <c r="AG36" s="7">
        <v>914936</v>
      </c>
      <c r="AH36" s="7">
        <v>607226</v>
      </c>
      <c r="AI36" s="4">
        <f t="shared" si="12"/>
        <v>305368</v>
      </c>
      <c r="AJ36" s="6">
        <v>912594</v>
      </c>
      <c r="AK36" s="5">
        <f t="shared" si="36"/>
        <v>0.99744025811641468</v>
      </c>
      <c r="AL36" s="7">
        <v>934551</v>
      </c>
      <c r="AM36" s="7">
        <v>760144</v>
      </c>
      <c r="AN36" s="4">
        <f t="shared" si="37"/>
        <v>162496</v>
      </c>
      <c r="AO36" s="6">
        <v>922640</v>
      </c>
      <c r="AP36" s="5">
        <f t="shared" si="38"/>
        <v>0.98725484216484705</v>
      </c>
      <c r="AQ36" s="7">
        <v>1610673</v>
      </c>
      <c r="AR36" s="7">
        <v>1335220</v>
      </c>
      <c r="AS36" s="4">
        <f t="shared" si="39"/>
        <v>273996</v>
      </c>
      <c r="AT36" s="6">
        <v>1609216</v>
      </c>
      <c r="AU36" s="5">
        <f t="shared" si="40"/>
        <v>0.99909540918609796</v>
      </c>
      <c r="AV36" s="7">
        <v>933166</v>
      </c>
      <c r="AW36" s="7">
        <v>771326</v>
      </c>
      <c r="AX36" s="4">
        <f t="shared" si="41"/>
        <v>162903</v>
      </c>
      <c r="AY36" s="6">
        <v>934229</v>
      </c>
      <c r="AZ36" s="5">
        <f t="shared" si="42"/>
        <v>1.0011391328016666</v>
      </c>
      <c r="BA36" s="7">
        <v>952259</v>
      </c>
      <c r="BB36" s="7">
        <v>784971</v>
      </c>
      <c r="BC36" s="4">
        <f t="shared" si="43"/>
        <v>159922</v>
      </c>
      <c r="BD36" s="6">
        <v>944893</v>
      </c>
      <c r="BE36" s="5">
        <f t="shared" si="44"/>
        <v>0.99226470949605095</v>
      </c>
      <c r="BF36" s="7">
        <v>1640364</v>
      </c>
      <c r="BG36" s="7">
        <v>1244155</v>
      </c>
      <c r="BH36" s="4">
        <f t="shared" si="45"/>
        <v>392210</v>
      </c>
      <c r="BI36" s="6">
        <v>1636365</v>
      </c>
      <c r="BJ36" s="5">
        <f t="shared" si="46"/>
        <v>0.99756212645485998</v>
      </c>
    </row>
    <row r="37" spans="1:62" x14ac:dyDescent="0.3">
      <c r="A37" s="18">
        <v>29</v>
      </c>
      <c r="B37" s="3" t="s">
        <v>33</v>
      </c>
      <c r="C37" s="7">
        <v>709794</v>
      </c>
      <c r="D37" s="6">
        <v>566137</v>
      </c>
      <c r="E37" s="4">
        <f t="shared" si="24"/>
        <v>134546</v>
      </c>
      <c r="F37" s="13">
        <v>700683</v>
      </c>
      <c r="G37" s="5">
        <f t="shared" si="25"/>
        <v>0.98716388135149069</v>
      </c>
      <c r="H37" s="7">
        <v>717455</v>
      </c>
      <c r="I37" s="6">
        <v>585595</v>
      </c>
      <c r="J37" s="4">
        <f t="shared" si="26"/>
        <v>120761</v>
      </c>
      <c r="K37" s="13">
        <v>706356</v>
      </c>
      <c r="L37" s="5">
        <f t="shared" si="27"/>
        <v>0.98453004021158119</v>
      </c>
      <c r="M37" s="7">
        <v>885615</v>
      </c>
      <c r="N37" s="6">
        <v>720699</v>
      </c>
      <c r="O37" s="4">
        <f t="shared" si="28"/>
        <v>156757</v>
      </c>
      <c r="P37" s="6">
        <v>877456</v>
      </c>
      <c r="Q37" s="5">
        <f t="shared" si="29"/>
        <v>0.99078719308051466</v>
      </c>
      <c r="R37" s="7">
        <v>713906</v>
      </c>
      <c r="S37" s="6">
        <v>582308</v>
      </c>
      <c r="T37" s="4">
        <f t="shared" si="30"/>
        <v>125101</v>
      </c>
      <c r="U37" s="13">
        <v>707409</v>
      </c>
      <c r="V37" s="5">
        <f t="shared" si="31"/>
        <v>0.9908993621008928</v>
      </c>
      <c r="W37" s="7">
        <v>721933</v>
      </c>
      <c r="X37" s="6">
        <v>580623</v>
      </c>
      <c r="Y37" s="4">
        <f t="shared" si="32"/>
        <v>128365</v>
      </c>
      <c r="Z37" s="13">
        <v>708988</v>
      </c>
      <c r="AA37" s="5">
        <f t="shared" si="33"/>
        <v>0.9820689731595591</v>
      </c>
      <c r="AB37" s="7">
        <v>896229</v>
      </c>
      <c r="AC37" s="7">
        <v>702788</v>
      </c>
      <c r="AD37" s="4">
        <f t="shared" si="34"/>
        <v>179973</v>
      </c>
      <c r="AE37" s="6">
        <v>882761</v>
      </c>
      <c r="AF37" s="5">
        <f t="shared" si="35"/>
        <v>0.98497259071063314</v>
      </c>
      <c r="AG37" s="7">
        <v>721282</v>
      </c>
      <c r="AH37" s="7">
        <v>575556</v>
      </c>
      <c r="AI37" s="4">
        <f t="shared" si="12"/>
        <v>135989</v>
      </c>
      <c r="AJ37" s="6">
        <v>711545</v>
      </c>
      <c r="AK37" s="5">
        <f t="shared" si="36"/>
        <v>0.98650042563102924</v>
      </c>
      <c r="AL37" s="7">
        <v>727480</v>
      </c>
      <c r="AM37" s="7">
        <v>595747</v>
      </c>
      <c r="AN37" s="4">
        <f t="shared" si="37"/>
        <v>121426</v>
      </c>
      <c r="AO37" s="6">
        <v>717173</v>
      </c>
      <c r="AP37" s="5">
        <f t="shared" si="38"/>
        <v>0.98583191290482208</v>
      </c>
      <c r="AQ37" s="7">
        <v>903787</v>
      </c>
      <c r="AR37" s="7">
        <v>750419</v>
      </c>
      <c r="AS37" s="4">
        <f t="shared" si="39"/>
        <v>144482</v>
      </c>
      <c r="AT37" s="6">
        <v>894901</v>
      </c>
      <c r="AU37" s="5">
        <f t="shared" si="40"/>
        <v>0.99016803738048897</v>
      </c>
      <c r="AV37" s="7">
        <v>732294</v>
      </c>
      <c r="AW37" s="7">
        <v>600210</v>
      </c>
      <c r="AX37" s="4">
        <f t="shared" si="41"/>
        <v>125297</v>
      </c>
      <c r="AY37" s="6">
        <v>725507</v>
      </c>
      <c r="AZ37" s="5">
        <f t="shared" si="42"/>
        <v>0.99073186452435769</v>
      </c>
      <c r="BA37" s="7">
        <v>740889</v>
      </c>
      <c r="BB37" s="7">
        <v>608159</v>
      </c>
      <c r="BC37" s="4">
        <f t="shared" si="43"/>
        <v>122007</v>
      </c>
      <c r="BD37" s="6">
        <v>730166</v>
      </c>
      <c r="BE37" s="5">
        <f t="shared" si="44"/>
        <v>0.98552684680161262</v>
      </c>
      <c r="BF37" s="7">
        <v>918028</v>
      </c>
      <c r="BG37" s="7">
        <v>691026</v>
      </c>
      <c r="BH37" s="4">
        <f t="shared" si="45"/>
        <v>215638</v>
      </c>
      <c r="BI37" s="6">
        <v>906664</v>
      </c>
      <c r="BJ37" s="5">
        <f t="shared" si="46"/>
        <v>0.98762129259673992</v>
      </c>
    </row>
    <row r="38" spans="1:62" x14ac:dyDescent="0.3">
      <c r="A38" s="18">
        <v>30</v>
      </c>
      <c r="B38" s="3" t="s">
        <v>34</v>
      </c>
      <c r="C38" s="7">
        <v>24355</v>
      </c>
      <c r="D38" s="6">
        <v>18356</v>
      </c>
      <c r="E38" s="4">
        <f t="shared" si="24"/>
        <v>6127</v>
      </c>
      <c r="F38" s="13">
        <v>24483</v>
      </c>
      <c r="G38" s="5">
        <f t="shared" si="25"/>
        <v>1.0052555943338124</v>
      </c>
      <c r="H38" s="7">
        <v>24747</v>
      </c>
      <c r="I38" s="6">
        <v>19097</v>
      </c>
      <c r="J38" s="4">
        <f t="shared" si="26"/>
        <v>5610</v>
      </c>
      <c r="K38" s="13">
        <v>24707</v>
      </c>
      <c r="L38" s="5">
        <f t="shared" si="27"/>
        <v>0.99838364246171252</v>
      </c>
      <c r="M38" s="7">
        <v>37604</v>
      </c>
      <c r="N38" s="6">
        <v>28789</v>
      </c>
      <c r="O38" s="4">
        <f t="shared" si="28"/>
        <v>8957</v>
      </c>
      <c r="P38" s="6">
        <v>37746</v>
      </c>
      <c r="Q38" s="5">
        <f t="shared" si="29"/>
        <v>1.0037761940219125</v>
      </c>
      <c r="R38" s="7">
        <v>24596</v>
      </c>
      <c r="S38" s="6">
        <v>18978</v>
      </c>
      <c r="T38" s="4">
        <f t="shared" si="30"/>
        <v>5821</v>
      </c>
      <c r="U38" s="13">
        <v>24799</v>
      </c>
      <c r="V38" s="5">
        <f t="shared" si="31"/>
        <v>1.0082533745324442</v>
      </c>
      <c r="W38" s="7">
        <v>25148</v>
      </c>
      <c r="X38" s="6">
        <v>18952</v>
      </c>
      <c r="Y38" s="4">
        <f t="shared" si="32"/>
        <v>6032</v>
      </c>
      <c r="Z38" s="13">
        <v>24984</v>
      </c>
      <c r="AA38" s="5">
        <f t="shared" si="33"/>
        <v>0.99347860664864007</v>
      </c>
      <c r="AB38" s="7">
        <v>38035</v>
      </c>
      <c r="AC38" s="7">
        <v>28588</v>
      </c>
      <c r="AD38" s="4">
        <f t="shared" si="34"/>
        <v>9566</v>
      </c>
      <c r="AE38" s="6">
        <v>38154</v>
      </c>
      <c r="AF38" s="5">
        <f t="shared" si="35"/>
        <v>1.0031286972525306</v>
      </c>
      <c r="AG38" s="7">
        <v>24962</v>
      </c>
      <c r="AH38" s="7">
        <v>18913</v>
      </c>
      <c r="AI38" s="4">
        <f t="shared" si="12"/>
        <v>6282</v>
      </c>
      <c r="AJ38" s="6">
        <v>25195</v>
      </c>
      <c r="AK38" s="5">
        <f t="shared" si="36"/>
        <v>1.0093341879657078</v>
      </c>
      <c r="AL38" s="7">
        <v>25436</v>
      </c>
      <c r="AM38" s="7">
        <v>19580</v>
      </c>
      <c r="AN38" s="4">
        <f t="shared" si="37"/>
        <v>5874</v>
      </c>
      <c r="AO38" s="6">
        <v>25454</v>
      </c>
      <c r="AP38" s="5">
        <f t="shared" si="38"/>
        <v>1.000707658436861</v>
      </c>
      <c r="AQ38" s="7">
        <v>38569</v>
      </c>
      <c r="AR38" s="7">
        <v>30736</v>
      </c>
      <c r="AS38" s="4">
        <f t="shared" si="39"/>
        <v>8110</v>
      </c>
      <c r="AT38" s="6">
        <v>38846</v>
      </c>
      <c r="AU38" s="5">
        <f t="shared" si="40"/>
        <v>1.0071819336773056</v>
      </c>
      <c r="AV38" s="7">
        <v>25488</v>
      </c>
      <c r="AW38" s="7">
        <v>20055</v>
      </c>
      <c r="AX38" s="4">
        <f t="shared" si="41"/>
        <v>5596</v>
      </c>
      <c r="AY38" s="6">
        <v>25651</v>
      </c>
      <c r="AZ38" s="5">
        <f t="shared" si="42"/>
        <v>1.0063951663527935</v>
      </c>
      <c r="BA38" s="7">
        <v>25933</v>
      </c>
      <c r="BB38" s="7">
        <v>20348</v>
      </c>
      <c r="BC38" s="4">
        <f t="shared" si="43"/>
        <v>5557</v>
      </c>
      <c r="BD38" s="6">
        <v>25905</v>
      </c>
      <c r="BE38" s="5">
        <f t="shared" si="44"/>
        <v>0.99892029460532916</v>
      </c>
      <c r="BF38" s="7">
        <v>39379</v>
      </c>
      <c r="BG38" s="7">
        <v>27903</v>
      </c>
      <c r="BH38" s="4">
        <f t="shared" si="45"/>
        <v>11497</v>
      </c>
      <c r="BI38" s="6">
        <v>39400</v>
      </c>
      <c r="BJ38" s="5">
        <f t="shared" si="46"/>
        <v>1.0005332791589425</v>
      </c>
    </row>
    <row r="39" spans="1:62" x14ac:dyDescent="0.3">
      <c r="A39" s="18">
        <v>31</v>
      </c>
      <c r="B39" s="3" t="s">
        <v>35</v>
      </c>
      <c r="C39" s="7">
        <v>209</v>
      </c>
      <c r="D39" s="6">
        <v>151</v>
      </c>
      <c r="E39" s="4">
        <f t="shared" si="24"/>
        <v>55</v>
      </c>
      <c r="F39" s="13">
        <v>206</v>
      </c>
      <c r="G39" s="5">
        <f t="shared" si="25"/>
        <v>0.9856459330143541</v>
      </c>
      <c r="H39" s="7">
        <v>211</v>
      </c>
      <c r="I39" s="6">
        <v>153</v>
      </c>
      <c r="J39" s="4">
        <f t="shared" si="26"/>
        <v>52</v>
      </c>
      <c r="K39" s="13">
        <v>205</v>
      </c>
      <c r="L39" s="5">
        <f t="shared" si="27"/>
        <v>0.97156398104265407</v>
      </c>
      <c r="M39" s="7">
        <v>253</v>
      </c>
      <c r="N39" s="6">
        <v>192</v>
      </c>
      <c r="O39" s="4">
        <f t="shared" si="28"/>
        <v>59</v>
      </c>
      <c r="P39" s="6">
        <v>251</v>
      </c>
      <c r="Q39" s="5">
        <f t="shared" si="29"/>
        <v>0.9920948616600791</v>
      </c>
      <c r="R39" s="7">
        <v>206</v>
      </c>
      <c r="S39" s="6">
        <v>164</v>
      </c>
      <c r="T39" s="4">
        <f t="shared" si="30"/>
        <v>48</v>
      </c>
      <c r="U39" s="13">
        <v>212</v>
      </c>
      <c r="V39" s="5">
        <f t="shared" si="31"/>
        <v>1.029126213592233</v>
      </c>
      <c r="W39" s="7">
        <v>216</v>
      </c>
      <c r="X39" s="6">
        <v>163</v>
      </c>
      <c r="Y39" s="4">
        <f t="shared" si="32"/>
        <v>53</v>
      </c>
      <c r="Z39" s="13">
        <v>216</v>
      </c>
      <c r="AA39" s="5">
        <f t="shared" si="33"/>
        <v>1</v>
      </c>
      <c r="AB39" s="7">
        <v>266</v>
      </c>
      <c r="AC39" s="7">
        <v>186</v>
      </c>
      <c r="AD39" s="4">
        <f t="shared" si="34"/>
        <v>80</v>
      </c>
      <c r="AE39" s="6">
        <v>266</v>
      </c>
      <c r="AF39" s="5">
        <f t="shared" si="35"/>
        <v>1</v>
      </c>
      <c r="AG39" s="7">
        <v>219</v>
      </c>
      <c r="AH39" s="7">
        <v>159</v>
      </c>
      <c r="AI39" s="4">
        <f t="shared" si="12"/>
        <v>64</v>
      </c>
      <c r="AJ39" s="6">
        <v>223</v>
      </c>
      <c r="AK39" s="5">
        <f t="shared" si="36"/>
        <v>1.0182648401826484</v>
      </c>
      <c r="AL39" s="7">
        <v>219</v>
      </c>
      <c r="AM39" s="7">
        <v>166</v>
      </c>
      <c r="AN39" s="4">
        <f t="shared" si="37"/>
        <v>60</v>
      </c>
      <c r="AO39" s="6">
        <v>226</v>
      </c>
      <c r="AP39" s="5">
        <f t="shared" si="38"/>
        <v>1.0319634703196348</v>
      </c>
      <c r="AQ39" s="7">
        <v>282</v>
      </c>
      <c r="AR39" s="7">
        <v>216</v>
      </c>
      <c r="AS39" s="4">
        <f t="shared" si="39"/>
        <v>66</v>
      </c>
      <c r="AT39" s="6">
        <v>282</v>
      </c>
      <c r="AU39" s="5">
        <f t="shared" si="40"/>
        <v>1</v>
      </c>
      <c r="AV39" s="7">
        <v>235</v>
      </c>
      <c r="AW39" s="7">
        <v>180</v>
      </c>
      <c r="AX39" s="4">
        <f t="shared" si="41"/>
        <v>63</v>
      </c>
      <c r="AY39" s="6">
        <v>243</v>
      </c>
      <c r="AZ39" s="5">
        <f t="shared" si="42"/>
        <v>1.0340425531914894</v>
      </c>
      <c r="BA39" s="7">
        <v>242</v>
      </c>
      <c r="BB39" s="7">
        <v>191</v>
      </c>
      <c r="BC39" s="4">
        <f t="shared" si="43"/>
        <v>58</v>
      </c>
      <c r="BD39" s="6">
        <v>249</v>
      </c>
      <c r="BE39" s="5">
        <f t="shared" si="44"/>
        <v>1.0289256198347108</v>
      </c>
      <c r="BF39" s="7">
        <v>297</v>
      </c>
      <c r="BG39" s="7">
        <v>208</v>
      </c>
      <c r="BH39" s="4">
        <f t="shared" si="45"/>
        <v>99</v>
      </c>
      <c r="BI39" s="6">
        <v>307</v>
      </c>
      <c r="BJ39" s="5">
        <f t="shared" si="46"/>
        <v>1.0336700336700337</v>
      </c>
    </row>
    <row r="40" spans="1:62" x14ac:dyDescent="0.3">
      <c r="A40" s="18">
        <v>32</v>
      </c>
      <c r="B40" s="3" t="s">
        <v>36</v>
      </c>
      <c r="C40" s="7">
        <v>291948</v>
      </c>
      <c r="D40" s="6">
        <v>224729</v>
      </c>
      <c r="E40" s="4">
        <f t="shared" si="24"/>
        <v>64351</v>
      </c>
      <c r="F40" s="13">
        <v>289080</v>
      </c>
      <c r="G40" s="5">
        <f t="shared" si="25"/>
        <v>0.99017633277158945</v>
      </c>
      <c r="H40" s="7">
        <v>293812</v>
      </c>
      <c r="I40" s="6">
        <v>231033</v>
      </c>
      <c r="J40" s="4">
        <f t="shared" si="26"/>
        <v>59647</v>
      </c>
      <c r="K40" s="13">
        <v>290680</v>
      </c>
      <c r="L40" s="5">
        <f t="shared" si="27"/>
        <v>0.98934012225504742</v>
      </c>
      <c r="M40" s="7">
        <v>351809</v>
      </c>
      <c r="N40" s="6">
        <v>277038</v>
      </c>
      <c r="O40" s="4">
        <f t="shared" si="28"/>
        <v>72029</v>
      </c>
      <c r="P40" s="6">
        <v>349067</v>
      </c>
      <c r="Q40" s="5">
        <f t="shared" si="29"/>
        <v>0.99220599814103672</v>
      </c>
      <c r="R40" s="7">
        <v>293831</v>
      </c>
      <c r="S40" s="6">
        <v>229608</v>
      </c>
      <c r="T40" s="4">
        <f t="shared" si="30"/>
        <v>63103</v>
      </c>
      <c r="U40" s="13">
        <v>292711</v>
      </c>
      <c r="V40" s="5">
        <f t="shared" si="31"/>
        <v>0.99618828510266111</v>
      </c>
      <c r="W40" s="7">
        <v>297227</v>
      </c>
      <c r="X40" s="6">
        <v>227545</v>
      </c>
      <c r="Y40" s="4">
        <f t="shared" si="32"/>
        <v>66550</v>
      </c>
      <c r="Z40" s="13">
        <v>294095</v>
      </c>
      <c r="AA40" s="5">
        <f t="shared" si="33"/>
        <v>0.98946259929279645</v>
      </c>
      <c r="AB40" s="7">
        <v>355500</v>
      </c>
      <c r="AC40" s="7">
        <v>270551</v>
      </c>
      <c r="AD40" s="4">
        <f t="shared" si="34"/>
        <v>82045</v>
      </c>
      <c r="AE40" s="6">
        <v>352596</v>
      </c>
      <c r="AF40" s="5">
        <f t="shared" si="35"/>
        <v>0.99183122362869203</v>
      </c>
      <c r="AG40" s="7">
        <v>298328</v>
      </c>
      <c r="AH40" s="7">
        <v>216472</v>
      </c>
      <c r="AI40" s="4">
        <f t="shared" si="12"/>
        <v>79299</v>
      </c>
      <c r="AJ40" s="6">
        <v>295771</v>
      </c>
      <c r="AK40" s="5">
        <f t="shared" si="36"/>
        <v>0.99142889705290815</v>
      </c>
      <c r="AL40" s="7">
        <v>299711</v>
      </c>
      <c r="AM40" s="7">
        <v>227631</v>
      </c>
      <c r="AN40" s="4">
        <f t="shared" si="37"/>
        <v>69307</v>
      </c>
      <c r="AO40" s="6">
        <v>296938</v>
      </c>
      <c r="AP40" s="5">
        <f t="shared" si="38"/>
        <v>0.99074775366936818</v>
      </c>
      <c r="AQ40" s="7">
        <v>357015</v>
      </c>
      <c r="AR40" s="7">
        <v>278197</v>
      </c>
      <c r="AS40" s="4">
        <f t="shared" si="39"/>
        <v>76628</v>
      </c>
      <c r="AT40" s="6">
        <v>354825</v>
      </c>
      <c r="AU40" s="5">
        <f t="shared" si="40"/>
        <v>0.99386580395781687</v>
      </c>
      <c r="AV40" s="7">
        <v>300800</v>
      </c>
      <c r="AW40" s="7">
        <v>232700</v>
      </c>
      <c r="AX40" s="4">
        <f t="shared" si="41"/>
        <v>66321</v>
      </c>
      <c r="AY40" s="6">
        <v>299021</v>
      </c>
      <c r="AZ40" s="5">
        <f t="shared" si="42"/>
        <v>0.9940857712765957</v>
      </c>
      <c r="BA40" s="7">
        <v>303731</v>
      </c>
      <c r="BB40" s="7">
        <v>235237</v>
      </c>
      <c r="BC40" s="4">
        <f t="shared" si="43"/>
        <v>65068</v>
      </c>
      <c r="BD40" s="6">
        <v>300305</v>
      </c>
      <c r="BE40" s="5">
        <f t="shared" si="44"/>
        <v>0.98872028209171936</v>
      </c>
      <c r="BF40" s="7">
        <v>361393</v>
      </c>
      <c r="BG40" s="7">
        <v>247807</v>
      </c>
      <c r="BH40" s="4">
        <f t="shared" si="45"/>
        <v>109989</v>
      </c>
      <c r="BI40" s="6">
        <v>357796</v>
      </c>
      <c r="BJ40" s="5">
        <f t="shared" si="46"/>
        <v>0.99004684650781838</v>
      </c>
    </row>
    <row r="41" spans="1:62" x14ac:dyDescent="0.3">
      <c r="A41" s="18">
        <v>33</v>
      </c>
      <c r="B41" s="3" t="s">
        <v>37</v>
      </c>
      <c r="C41" s="7">
        <v>952408</v>
      </c>
      <c r="D41" s="6">
        <v>791325</v>
      </c>
      <c r="E41" s="4">
        <f t="shared" si="24"/>
        <v>152795</v>
      </c>
      <c r="F41" s="13">
        <v>944120</v>
      </c>
      <c r="G41" s="5">
        <f t="shared" si="25"/>
        <v>0.99129784714114122</v>
      </c>
      <c r="H41" s="7">
        <v>959446</v>
      </c>
      <c r="I41" s="6">
        <v>806534</v>
      </c>
      <c r="J41" s="4">
        <f t="shared" si="26"/>
        <v>141246</v>
      </c>
      <c r="K41" s="13">
        <v>947780</v>
      </c>
      <c r="L41" s="5">
        <f t="shared" si="27"/>
        <v>0.98784089985262324</v>
      </c>
      <c r="M41" s="7">
        <v>1062442</v>
      </c>
      <c r="N41" s="6">
        <v>893481</v>
      </c>
      <c r="O41" s="4">
        <f t="shared" si="28"/>
        <v>158125</v>
      </c>
      <c r="P41" s="6">
        <v>1051606</v>
      </c>
      <c r="Q41" s="5">
        <f t="shared" si="29"/>
        <v>0.98980085501137949</v>
      </c>
      <c r="R41" s="7">
        <v>959218</v>
      </c>
      <c r="S41" s="6">
        <v>806890</v>
      </c>
      <c r="T41" s="4">
        <f t="shared" si="30"/>
        <v>144348</v>
      </c>
      <c r="U41" s="13">
        <v>951238</v>
      </c>
      <c r="V41" s="5">
        <f t="shared" si="31"/>
        <v>0.9916807232558188</v>
      </c>
      <c r="W41" s="7">
        <v>961845</v>
      </c>
      <c r="X41" s="6">
        <v>799607</v>
      </c>
      <c r="Y41" s="4">
        <f t="shared" si="32"/>
        <v>150539</v>
      </c>
      <c r="Z41" s="13">
        <v>950146</v>
      </c>
      <c r="AA41" s="5">
        <f t="shared" si="33"/>
        <v>0.98783691759067205</v>
      </c>
      <c r="AB41" s="7">
        <v>1065577</v>
      </c>
      <c r="AC41" s="7">
        <v>871295</v>
      </c>
      <c r="AD41" s="4">
        <f t="shared" si="34"/>
        <v>183388</v>
      </c>
      <c r="AE41" s="6">
        <v>1054683</v>
      </c>
      <c r="AF41" s="5">
        <f t="shared" si="35"/>
        <v>0.98977643098527834</v>
      </c>
      <c r="AG41" s="7">
        <v>963364</v>
      </c>
      <c r="AH41" s="7">
        <v>785343</v>
      </c>
      <c r="AI41" s="4">
        <f t="shared" si="12"/>
        <v>170733</v>
      </c>
      <c r="AJ41" s="6">
        <v>956076</v>
      </c>
      <c r="AK41" s="5">
        <f t="shared" si="36"/>
        <v>0.99243484290465489</v>
      </c>
      <c r="AL41" s="7">
        <v>968650</v>
      </c>
      <c r="AM41" s="7">
        <v>809233</v>
      </c>
      <c r="AN41" s="4">
        <f t="shared" si="37"/>
        <v>149265</v>
      </c>
      <c r="AO41" s="6">
        <v>958498</v>
      </c>
      <c r="AP41" s="5">
        <f t="shared" si="38"/>
        <v>0.9895194342641821</v>
      </c>
      <c r="AQ41" s="7">
        <v>1071657</v>
      </c>
      <c r="AR41" s="7">
        <v>906405</v>
      </c>
      <c r="AS41" s="4">
        <f t="shared" si="39"/>
        <v>156358</v>
      </c>
      <c r="AT41" s="6">
        <v>1062763</v>
      </c>
      <c r="AU41" s="5">
        <f t="shared" si="40"/>
        <v>0.99170070274350841</v>
      </c>
      <c r="AV41" s="7">
        <v>970535</v>
      </c>
      <c r="AW41" s="7">
        <v>819609</v>
      </c>
      <c r="AX41" s="4">
        <f t="shared" si="41"/>
        <v>144327</v>
      </c>
      <c r="AY41" s="6">
        <v>963936</v>
      </c>
      <c r="AZ41" s="5">
        <f t="shared" si="42"/>
        <v>0.99320065736938901</v>
      </c>
      <c r="BA41" s="7">
        <v>973311</v>
      </c>
      <c r="BB41" s="7">
        <v>828572</v>
      </c>
      <c r="BC41" s="4">
        <f t="shared" si="43"/>
        <v>139921</v>
      </c>
      <c r="BD41" s="6">
        <v>968493</v>
      </c>
      <c r="BE41" s="5">
        <f t="shared" si="44"/>
        <v>0.99504988641862668</v>
      </c>
      <c r="BF41" s="7">
        <v>1078355</v>
      </c>
      <c r="BG41" s="7">
        <v>850827</v>
      </c>
      <c r="BH41" s="4">
        <f t="shared" si="45"/>
        <v>222172</v>
      </c>
      <c r="BI41" s="6">
        <v>1072999</v>
      </c>
      <c r="BJ41" s="5">
        <f t="shared" si="46"/>
        <v>0.99503317553124904</v>
      </c>
    </row>
    <row r="42" spans="1:62" x14ac:dyDescent="0.3">
      <c r="A42" s="18">
        <v>34</v>
      </c>
      <c r="B42" s="3" t="s">
        <v>38</v>
      </c>
      <c r="C42" s="7">
        <v>19014</v>
      </c>
      <c r="D42" s="6">
        <v>14806</v>
      </c>
      <c r="E42" s="4">
        <f t="shared" si="24"/>
        <v>3955</v>
      </c>
      <c r="F42" s="13">
        <v>18761</v>
      </c>
      <c r="G42" s="5">
        <f t="shared" si="25"/>
        <v>0.98669401493636266</v>
      </c>
      <c r="H42" s="7">
        <v>19101</v>
      </c>
      <c r="I42" s="6">
        <v>15172</v>
      </c>
      <c r="J42" s="4">
        <f t="shared" si="26"/>
        <v>3741</v>
      </c>
      <c r="K42" s="13">
        <v>18913</v>
      </c>
      <c r="L42" s="5">
        <f t="shared" si="27"/>
        <v>0.99015758337259829</v>
      </c>
      <c r="M42" s="7">
        <v>21195</v>
      </c>
      <c r="N42" s="6">
        <v>16877</v>
      </c>
      <c r="O42" s="4">
        <f t="shared" si="28"/>
        <v>4112</v>
      </c>
      <c r="P42" s="6">
        <v>20989</v>
      </c>
      <c r="Q42" s="5">
        <f t="shared" si="29"/>
        <v>0.99028072658645905</v>
      </c>
      <c r="R42" s="7">
        <v>19210</v>
      </c>
      <c r="S42" s="6">
        <v>15183</v>
      </c>
      <c r="T42" s="4">
        <f t="shared" si="30"/>
        <v>3882</v>
      </c>
      <c r="U42" s="13">
        <v>19065</v>
      </c>
      <c r="V42" s="5">
        <f t="shared" si="31"/>
        <v>0.99245184799583552</v>
      </c>
      <c r="W42" s="7">
        <v>19384</v>
      </c>
      <c r="X42" s="6">
        <v>15025</v>
      </c>
      <c r="Y42" s="4">
        <f t="shared" si="32"/>
        <v>4047</v>
      </c>
      <c r="Z42" s="13">
        <v>19072</v>
      </c>
      <c r="AA42" s="5">
        <f t="shared" si="33"/>
        <v>0.9839042509286009</v>
      </c>
      <c r="AB42" s="7">
        <v>21463</v>
      </c>
      <c r="AC42" s="7">
        <v>16467</v>
      </c>
      <c r="AD42" s="4">
        <f t="shared" si="34"/>
        <v>4680</v>
      </c>
      <c r="AE42" s="6">
        <v>21147</v>
      </c>
      <c r="AF42" s="5">
        <f t="shared" si="35"/>
        <v>0.98527698830545585</v>
      </c>
      <c r="AG42" s="7">
        <v>19423</v>
      </c>
      <c r="AH42" s="7">
        <v>14614</v>
      </c>
      <c r="AI42" s="4">
        <f t="shared" si="12"/>
        <v>4561</v>
      </c>
      <c r="AJ42" s="6">
        <v>19175</v>
      </c>
      <c r="AK42" s="5">
        <f t="shared" si="36"/>
        <v>0.98723163260052516</v>
      </c>
      <c r="AL42" s="7">
        <v>19535</v>
      </c>
      <c r="AM42" s="7">
        <v>15152</v>
      </c>
      <c r="AN42" s="4">
        <f t="shared" si="37"/>
        <v>4080</v>
      </c>
      <c r="AO42" s="6">
        <v>19232</v>
      </c>
      <c r="AP42" s="5">
        <f t="shared" si="38"/>
        <v>0.98448937803941639</v>
      </c>
      <c r="AQ42" s="7">
        <v>21570</v>
      </c>
      <c r="AR42" s="7">
        <v>17198</v>
      </c>
      <c r="AS42" s="4">
        <f t="shared" si="39"/>
        <v>4083</v>
      </c>
      <c r="AT42" s="6">
        <v>21281</v>
      </c>
      <c r="AU42" s="5">
        <f t="shared" si="40"/>
        <v>0.98660176170607328</v>
      </c>
      <c r="AV42" s="7">
        <v>19570</v>
      </c>
      <c r="AW42" s="7">
        <v>15632</v>
      </c>
      <c r="AX42" s="4">
        <f t="shared" si="41"/>
        <v>3679</v>
      </c>
      <c r="AY42" s="6">
        <v>19311</v>
      </c>
      <c r="AZ42" s="5">
        <f t="shared" si="42"/>
        <v>0.98676545733265197</v>
      </c>
      <c r="BA42" s="7">
        <v>19671</v>
      </c>
      <c r="BB42" s="7">
        <v>15836</v>
      </c>
      <c r="BC42" s="4">
        <f t="shared" si="43"/>
        <v>3571</v>
      </c>
      <c r="BD42" s="6">
        <v>19407</v>
      </c>
      <c r="BE42" s="5">
        <f t="shared" si="44"/>
        <v>0.98657922830562761</v>
      </c>
      <c r="BF42" s="7">
        <v>21792</v>
      </c>
      <c r="BG42" s="7">
        <v>16297</v>
      </c>
      <c r="BH42" s="4">
        <f t="shared" si="45"/>
        <v>5272</v>
      </c>
      <c r="BI42" s="6">
        <v>21569</v>
      </c>
      <c r="BJ42" s="5">
        <f t="shared" si="46"/>
        <v>0.9897668869309838</v>
      </c>
    </row>
    <row r="43" spans="1:62" x14ac:dyDescent="0.3">
      <c r="A43" s="18">
        <v>35</v>
      </c>
      <c r="B43" s="3" t="s">
        <v>39</v>
      </c>
      <c r="C43" s="7">
        <v>3669</v>
      </c>
      <c r="D43" s="6">
        <v>2447</v>
      </c>
      <c r="E43" s="4">
        <f t="shared" si="24"/>
        <v>1221</v>
      </c>
      <c r="F43" s="13">
        <v>3668</v>
      </c>
      <c r="G43" s="5">
        <f t="shared" si="25"/>
        <v>0.99972744617061871</v>
      </c>
      <c r="H43" s="7">
        <v>3731</v>
      </c>
      <c r="I43" s="6">
        <v>2547</v>
      </c>
      <c r="J43" s="4">
        <f t="shared" si="26"/>
        <v>1154</v>
      </c>
      <c r="K43" s="13">
        <v>3701</v>
      </c>
      <c r="L43" s="5">
        <f t="shared" si="27"/>
        <v>0.99195926025194314</v>
      </c>
      <c r="M43" s="7">
        <v>4602</v>
      </c>
      <c r="N43" s="6">
        <v>3164</v>
      </c>
      <c r="O43" s="4">
        <f t="shared" si="28"/>
        <v>1422</v>
      </c>
      <c r="P43" s="6">
        <v>4586</v>
      </c>
      <c r="Q43" s="5">
        <f t="shared" si="29"/>
        <v>0.99652325076053894</v>
      </c>
      <c r="R43" s="7">
        <v>3744</v>
      </c>
      <c r="S43" s="6">
        <v>2583</v>
      </c>
      <c r="T43" s="4">
        <f t="shared" si="30"/>
        <v>1149</v>
      </c>
      <c r="U43" s="13">
        <v>3732</v>
      </c>
      <c r="V43" s="5">
        <f t="shared" si="31"/>
        <v>0.99679487179487181</v>
      </c>
      <c r="W43" s="7">
        <v>3795</v>
      </c>
      <c r="X43" s="6">
        <v>2635</v>
      </c>
      <c r="Y43" s="4">
        <f t="shared" si="32"/>
        <v>1120</v>
      </c>
      <c r="Z43" s="13">
        <v>3755</v>
      </c>
      <c r="AA43" s="5">
        <f t="shared" si="33"/>
        <v>0.98945981554677209</v>
      </c>
      <c r="AB43" s="7">
        <v>4656</v>
      </c>
      <c r="AC43" s="7">
        <v>3193</v>
      </c>
      <c r="AD43" s="4">
        <f t="shared" si="34"/>
        <v>1431</v>
      </c>
      <c r="AE43" s="6">
        <v>4624</v>
      </c>
      <c r="AF43" s="5">
        <f t="shared" si="35"/>
        <v>0.99312714776632305</v>
      </c>
      <c r="AG43" s="7">
        <v>3765</v>
      </c>
      <c r="AH43" s="7">
        <v>2590</v>
      </c>
      <c r="AI43" s="4">
        <f t="shared" si="12"/>
        <v>1176</v>
      </c>
      <c r="AJ43" s="6">
        <v>3766</v>
      </c>
      <c r="AK43" s="5">
        <f t="shared" si="36"/>
        <v>1.000265604249668</v>
      </c>
      <c r="AL43" s="7">
        <v>3815</v>
      </c>
      <c r="AM43" s="7">
        <v>2657</v>
      </c>
      <c r="AN43" s="4">
        <f t="shared" si="37"/>
        <v>1147</v>
      </c>
      <c r="AO43" s="6">
        <v>3804</v>
      </c>
      <c r="AP43" s="5">
        <f t="shared" si="38"/>
        <v>0.99711664482306683</v>
      </c>
      <c r="AQ43" s="7">
        <v>4752</v>
      </c>
      <c r="AR43" s="7">
        <v>3462</v>
      </c>
      <c r="AS43" s="4">
        <f t="shared" si="39"/>
        <v>1286</v>
      </c>
      <c r="AT43" s="6">
        <v>4748</v>
      </c>
      <c r="AU43" s="5">
        <f t="shared" si="40"/>
        <v>0.99915824915824913</v>
      </c>
      <c r="AV43" s="7">
        <v>3858</v>
      </c>
      <c r="AW43" s="7">
        <v>2757</v>
      </c>
      <c r="AX43" s="4">
        <f t="shared" si="41"/>
        <v>1065</v>
      </c>
      <c r="AY43" s="6">
        <v>3822</v>
      </c>
      <c r="AZ43" s="5">
        <f t="shared" si="42"/>
        <v>0.99066874027993779</v>
      </c>
      <c r="BA43" s="7">
        <v>3902</v>
      </c>
      <c r="BB43" s="7">
        <v>2752</v>
      </c>
      <c r="BC43" s="4">
        <f t="shared" si="43"/>
        <v>1098</v>
      </c>
      <c r="BD43" s="6">
        <v>3850</v>
      </c>
      <c r="BE43" s="5">
        <f t="shared" si="44"/>
        <v>0.98667350076883653</v>
      </c>
      <c r="BF43" s="7">
        <v>4852</v>
      </c>
      <c r="BG43" s="7">
        <v>2929</v>
      </c>
      <c r="BH43" s="4">
        <f t="shared" si="45"/>
        <v>1855</v>
      </c>
      <c r="BI43" s="6">
        <v>4784</v>
      </c>
      <c r="BJ43" s="5">
        <f t="shared" si="46"/>
        <v>0.98598516075845011</v>
      </c>
    </row>
    <row r="44" spans="1:62" x14ac:dyDescent="0.3">
      <c r="A44" s="18">
        <v>36</v>
      </c>
      <c r="B44" s="3" t="s">
        <v>40</v>
      </c>
      <c r="C44" s="7">
        <v>363720</v>
      </c>
      <c r="D44" s="6">
        <v>277487</v>
      </c>
      <c r="E44" s="4">
        <f t="shared" si="24"/>
        <v>81892</v>
      </c>
      <c r="F44" s="13">
        <v>359379</v>
      </c>
      <c r="G44" s="5">
        <f t="shared" si="25"/>
        <v>0.98806499505113821</v>
      </c>
      <c r="H44" s="7">
        <v>368428</v>
      </c>
      <c r="I44" s="6">
        <v>289719</v>
      </c>
      <c r="J44" s="4">
        <f t="shared" si="26"/>
        <v>72398</v>
      </c>
      <c r="K44" s="13">
        <v>362117</v>
      </c>
      <c r="L44" s="5">
        <f t="shared" si="27"/>
        <v>0.98287046587121496</v>
      </c>
      <c r="M44" s="7">
        <v>437654</v>
      </c>
      <c r="N44" s="6">
        <v>343466</v>
      </c>
      <c r="O44" s="4">
        <f t="shared" si="28"/>
        <v>86967</v>
      </c>
      <c r="P44" s="6">
        <v>430433</v>
      </c>
      <c r="Q44" s="5">
        <f t="shared" si="29"/>
        <v>0.98350066490880927</v>
      </c>
      <c r="R44" s="7">
        <v>368991</v>
      </c>
      <c r="S44" s="6">
        <v>283750</v>
      </c>
      <c r="T44" s="4">
        <f t="shared" si="30"/>
        <v>80779</v>
      </c>
      <c r="U44" s="13">
        <v>364529</v>
      </c>
      <c r="V44" s="5">
        <f t="shared" si="31"/>
        <v>0.98790756414113079</v>
      </c>
      <c r="W44" s="7">
        <v>375659</v>
      </c>
      <c r="X44" s="6">
        <v>285499</v>
      </c>
      <c r="Y44" s="4">
        <f t="shared" si="32"/>
        <v>79042</v>
      </c>
      <c r="Z44" s="13">
        <v>364541</v>
      </c>
      <c r="AA44" s="5">
        <f t="shared" si="33"/>
        <v>0.97040401001972532</v>
      </c>
      <c r="AB44" s="7">
        <v>443838</v>
      </c>
      <c r="AC44" s="7">
        <v>333759</v>
      </c>
      <c r="AD44" s="4">
        <f t="shared" si="34"/>
        <v>99647</v>
      </c>
      <c r="AE44" s="6">
        <v>433406</v>
      </c>
      <c r="AF44" s="5">
        <f t="shared" si="35"/>
        <v>0.97649592869470392</v>
      </c>
      <c r="AG44" s="7">
        <v>373881</v>
      </c>
      <c r="AH44" s="7">
        <v>283462</v>
      </c>
      <c r="AI44" s="4">
        <f t="shared" si="12"/>
        <v>83154</v>
      </c>
      <c r="AJ44" s="6">
        <v>366616</v>
      </c>
      <c r="AK44" s="5">
        <f t="shared" si="36"/>
        <v>0.98056868361858451</v>
      </c>
      <c r="AL44" s="7">
        <v>377474</v>
      </c>
      <c r="AM44" s="7">
        <v>295468</v>
      </c>
      <c r="AN44" s="4">
        <f t="shared" si="37"/>
        <v>74319</v>
      </c>
      <c r="AO44" s="6">
        <v>369787</v>
      </c>
      <c r="AP44" s="5">
        <f t="shared" si="38"/>
        <v>0.97963568351727537</v>
      </c>
      <c r="AQ44" s="7">
        <v>447335</v>
      </c>
      <c r="AR44" s="7">
        <v>360611</v>
      </c>
      <c r="AS44" s="4">
        <f t="shared" si="39"/>
        <v>79478</v>
      </c>
      <c r="AT44" s="6">
        <v>440089</v>
      </c>
      <c r="AU44" s="5">
        <f t="shared" si="40"/>
        <v>0.98380184872634602</v>
      </c>
      <c r="AV44" s="7">
        <v>379419</v>
      </c>
      <c r="AW44" s="7">
        <v>299838</v>
      </c>
      <c r="AX44" s="4">
        <f t="shared" si="41"/>
        <v>74200</v>
      </c>
      <c r="AY44" s="6">
        <v>374038</v>
      </c>
      <c r="AZ44" s="5">
        <f t="shared" si="42"/>
        <v>0.98581778983129464</v>
      </c>
      <c r="BA44" s="7">
        <v>384239</v>
      </c>
      <c r="BB44" s="7">
        <v>303910</v>
      </c>
      <c r="BC44" s="4">
        <f t="shared" si="43"/>
        <v>72791</v>
      </c>
      <c r="BD44" s="6">
        <v>376701</v>
      </c>
      <c r="BE44" s="5">
        <f t="shared" si="44"/>
        <v>0.98038200182698787</v>
      </c>
      <c r="BF44" s="7">
        <v>454173</v>
      </c>
      <c r="BG44" s="7">
        <v>329463</v>
      </c>
      <c r="BH44" s="4">
        <f t="shared" si="45"/>
        <v>117683</v>
      </c>
      <c r="BI44" s="6">
        <v>447146</v>
      </c>
      <c r="BJ44" s="5">
        <f t="shared" si="46"/>
        <v>0.98452792217943386</v>
      </c>
    </row>
    <row r="45" spans="1:62" x14ac:dyDescent="0.3">
      <c r="A45" s="18">
        <v>37</v>
      </c>
      <c r="B45" s="3" t="s">
        <v>41</v>
      </c>
      <c r="C45" s="7">
        <v>266622</v>
      </c>
      <c r="D45" s="6">
        <v>205819</v>
      </c>
      <c r="E45" s="4">
        <f t="shared" si="24"/>
        <v>56535</v>
      </c>
      <c r="F45" s="13">
        <v>262354</v>
      </c>
      <c r="G45" s="5">
        <f t="shared" si="25"/>
        <v>0.98399231871338444</v>
      </c>
      <c r="H45" s="7">
        <v>269495</v>
      </c>
      <c r="I45" s="6">
        <v>213566</v>
      </c>
      <c r="J45" s="4">
        <f t="shared" si="26"/>
        <v>50117</v>
      </c>
      <c r="K45" s="13">
        <v>263683</v>
      </c>
      <c r="L45" s="5">
        <f t="shared" si="27"/>
        <v>0.97843373717508675</v>
      </c>
      <c r="M45" s="7">
        <v>320759</v>
      </c>
      <c r="N45" s="6">
        <v>253922</v>
      </c>
      <c r="O45" s="4">
        <f t="shared" si="28"/>
        <v>60743</v>
      </c>
      <c r="P45" s="6">
        <v>314665</v>
      </c>
      <c r="Q45" s="5">
        <f t="shared" si="29"/>
        <v>0.98100131251188583</v>
      </c>
      <c r="R45" s="7">
        <v>267358</v>
      </c>
      <c r="S45" s="6">
        <v>212052</v>
      </c>
      <c r="T45" s="4">
        <f t="shared" si="30"/>
        <v>51840</v>
      </c>
      <c r="U45" s="13">
        <v>263892</v>
      </c>
      <c r="V45" s="5">
        <f t="shared" si="31"/>
        <v>0.98703610888770865</v>
      </c>
      <c r="W45" s="7">
        <v>269851</v>
      </c>
      <c r="X45" s="6">
        <v>207004</v>
      </c>
      <c r="Y45" s="4">
        <f t="shared" si="32"/>
        <v>56813</v>
      </c>
      <c r="Z45" s="13">
        <v>263817</v>
      </c>
      <c r="AA45" s="5">
        <f t="shared" si="33"/>
        <v>0.97763951217523748</v>
      </c>
      <c r="AB45" s="7">
        <v>321990</v>
      </c>
      <c r="AC45" s="7">
        <v>244407</v>
      </c>
      <c r="AD45" s="4">
        <f t="shared" si="34"/>
        <v>71829</v>
      </c>
      <c r="AE45" s="6">
        <v>316236</v>
      </c>
      <c r="AF45" s="5">
        <f t="shared" si="35"/>
        <v>0.98212987980993194</v>
      </c>
      <c r="AG45" s="7">
        <v>270238</v>
      </c>
      <c r="AH45" s="7">
        <v>209261</v>
      </c>
      <c r="AI45" s="4">
        <f t="shared" si="12"/>
        <v>57292</v>
      </c>
      <c r="AJ45" s="6">
        <v>266553</v>
      </c>
      <c r="AK45" s="5">
        <f t="shared" si="36"/>
        <v>0.98636387184629848</v>
      </c>
      <c r="AL45" s="7">
        <v>273027</v>
      </c>
      <c r="AM45" s="7">
        <v>216957</v>
      </c>
      <c r="AN45" s="4">
        <f t="shared" si="37"/>
        <v>52326</v>
      </c>
      <c r="AO45" s="6">
        <v>269283</v>
      </c>
      <c r="AP45" s="5">
        <f t="shared" si="38"/>
        <v>0.98628707050951003</v>
      </c>
      <c r="AQ45" s="7">
        <v>326184</v>
      </c>
      <c r="AR45" s="7">
        <v>262137</v>
      </c>
      <c r="AS45" s="4">
        <f t="shared" si="39"/>
        <v>60634</v>
      </c>
      <c r="AT45" s="6">
        <v>322771</v>
      </c>
      <c r="AU45" s="5">
        <f t="shared" si="40"/>
        <v>0.98953658058028593</v>
      </c>
      <c r="AV45" s="7">
        <v>274208</v>
      </c>
      <c r="AW45" s="7">
        <v>219938</v>
      </c>
      <c r="AX45" s="4">
        <f t="shared" si="41"/>
        <v>52325</v>
      </c>
      <c r="AY45" s="6">
        <v>272263</v>
      </c>
      <c r="AZ45" s="5">
        <f t="shared" si="42"/>
        <v>0.99290684443925781</v>
      </c>
      <c r="BA45" s="7">
        <v>277741</v>
      </c>
      <c r="BB45" s="7">
        <v>224395</v>
      </c>
      <c r="BC45" s="4">
        <f t="shared" si="43"/>
        <v>50154</v>
      </c>
      <c r="BD45" s="6">
        <v>274549</v>
      </c>
      <c r="BE45" s="5">
        <f t="shared" si="44"/>
        <v>0.98850727836365537</v>
      </c>
      <c r="BF45" s="7">
        <v>331328</v>
      </c>
      <c r="BG45" s="7">
        <v>241879</v>
      </c>
      <c r="BH45" s="4">
        <f t="shared" si="45"/>
        <v>86837</v>
      </c>
      <c r="BI45" s="6">
        <v>328716</v>
      </c>
      <c r="BJ45" s="5">
        <f t="shared" si="46"/>
        <v>0.99211657330500291</v>
      </c>
    </row>
    <row r="46" spans="1:62" x14ac:dyDescent="0.3">
      <c r="A46" s="18">
        <v>38</v>
      </c>
      <c r="B46" s="3" t="s">
        <v>42</v>
      </c>
      <c r="C46" s="7">
        <v>2422</v>
      </c>
      <c r="D46" s="6">
        <v>1734</v>
      </c>
      <c r="E46" s="4">
        <f t="shared" si="24"/>
        <v>742</v>
      </c>
      <c r="F46" s="13">
        <v>2476</v>
      </c>
      <c r="G46" s="5">
        <f t="shared" si="25"/>
        <v>1.0222956234516929</v>
      </c>
      <c r="H46" s="7">
        <v>2553</v>
      </c>
      <c r="I46" s="6">
        <v>1843</v>
      </c>
      <c r="J46" s="4">
        <f t="shared" si="26"/>
        <v>710</v>
      </c>
      <c r="K46" s="13">
        <v>2553</v>
      </c>
      <c r="L46" s="5">
        <f t="shared" si="27"/>
        <v>1</v>
      </c>
      <c r="M46" s="7">
        <v>7561</v>
      </c>
      <c r="N46" s="6">
        <v>5868</v>
      </c>
      <c r="O46" s="4">
        <f t="shared" si="28"/>
        <v>1801</v>
      </c>
      <c r="P46" s="6">
        <v>7669</v>
      </c>
      <c r="Q46" s="5">
        <f t="shared" si="29"/>
        <v>1.0142838248908874</v>
      </c>
      <c r="R46" s="7">
        <v>2328</v>
      </c>
      <c r="S46" s="6">
        <v>1674</v>
      </c>
      <c r="T46" s="4">
        <f t="shared" si="30"/>
        <v>715</v>
      </c>
      <c r="U46" s="13">
        <v>2389</v>
      </c>
      <c r="V46" s="5">
        <f t="shared" si="31"/>
        <v>1.0262027491408934</v>
      </c>
      <c r="W46" s="7">
        <v>2515</v>
      </c>
      <c r="X46" s="6">
        <v>1710</v>
      </c>
      <c r="Y46" s="4">
        <f t="shared" si="32"/>
        <v>762</v>
      </c>
      <c r="Z46" s="13">
        <v>2472</v>
      </c>
      <c r="AA46" s="5">
        <f t="shared" si="33"/>
        <v>0.9829025844930418</v>
      </c>
      <c r="AB46" s="7">
        <v>7764</v>
      </c>
      <c r="AC46" s="7">
        <v>5878</v>
      </c>
      <c r="AD46" s="4">
        <f t="shared" si="34"/>
        <v>2008</v>
      </c>
      <c r="AE46" s="6">
        <v>7886</v>
      </c>
      <c r="AF46" s="5">
        <f t="shared" si="35"/>
        <v>1.015713549716641</v>
      </c>
      <c r="AG46" s="7">
        <v>2401</v>
      </c>
      <c r="AH46" s="7">
        <v>1674</v>
      </c>
      <c r="AI46" s="4">
        <f t="shared" si="12"/>
        <v>792</v>
      </c>
      <c r="AJ46" s="6">
        <v>2466</v>
      </c>
      <c r="AK46" s="5">
        <f t="shared" si="36"/>
        <v>1.0270720533111204</v>
      </c>
      <c r="AL46" s="7">
        <v>2561</v>
      </c>
      <c r="AM46" s="7">
        <v>1875</v>
      </c>
      <c r="AN46" s="4">
        <f t="shared" si="37"/>
        <v>683</v>
      </c>
      <c r="AO46" s="6">
        <v>2558</v>
      </c>
      <c r="AP46" s="5">
        <f t="shared" si="38"/>
        <v>0.99882858258492779</v>
      </c>
      <c r="AQ46" s="7">
        <v>7981</v>
      </c>
      <c r="AR46" s="7">
        <v>6265</v>
      </c>
      <c r="AS46" s="4">
        <f t="shared" si="39"/>
        <v>1860</v>
      </c>
      <c r="AT46" s="6">
        <v>8125</v>
      </c>
      <c r="AU46" s="5">
        <f t="shared" si="40"/>
        <v>1.0180428517729607</v>
      </c>
      <c r="AV46" s="7">
        <v>2437</v>
      </c>
      <c r="AW46" s="7">
        <v>1878</v>
      </c>
      <c r="AX46" s="4">
        <f t="shared" si="41"/>
        <v>627</v>
      </c>
      <c r="AY46" s="6">
        <v>2505</v>
      </c>
      <c r="AZ46" s="5">
        <f t="shared" si="42"/>
        <v>1.0279031596224866</v>
      </c>
      <c r="BA46" s="7">
        <v>2592</v>
      </c>
      <c r="BB46" s="7">
        <v>1965</v>
      </c>
      <c r="BC46" s="4">
        <f t="shared" si="43"/>
        <v>602</v>
      </c>
      <c r="BD46" s="6">
        <v>2567</v>
      </c>
      <c r="BE46" s="5">
        <f t="shared" si="44"/>
        <v>0.99035493827160492</v>
      </c>
      <c r="BF46" s="7">
        <v>8179</v>
      </c>
      <c r="BG46" s="7">
        <v>6449</v>
      </c>
      <c r="BH46" s="4">
        <f t="shared" si="45"/>
        <v>1833</v>
      </c>
      <c r="BI46" s="6">
        <v>8282</v>
      </c>
      <c r="BJ46" s="5">
        <f t="shared" si="46"/>
        <v>1.0125932265558137</v>
      </c>
    </row>
    <row r="47" spans="1:62" x14ac:dyDescent="0.3">
      <c r="A47" s="18">
        <v>97</v>
      </c>
      <c r="B47" s="3" t="s">
        <v>43</v>
      </c>
      <c r="C47" s="7">
        <v>80</v>
      </c>
      <c r="D47" s="6">
        <v>60</v>
      </c>
      <c r="E47" s="20">
        <f t="shared" si="24"/>
        <v>5</v>
      </c>
      <c r="F47" s="13">
        <v>65</v>
      </c>
      <c r="G47" s="21">
        <f t="shared" si="25"/>
        <v>0.8125</v>
      </c>
      <c r="H47" s="7">
        <v>80</v>
      </c>
      <c r="I47" s="6">
        <v>63</v>
      </c>
      <c r="J47" s="20">
        <f t="shared" si="26"/>
        <v>2</v>
      </c>
      <c r="K47" s="13">
        <v>65</v>
      </c>
      <c r="L47" s="21">
        <f t="shared" si="27"/>
        <v>0.8125</v>
      </c>
      <c r="M47" s="7">
        <v>83</v>
      </c>
      <c r="N47" s="6">
        <v>66</v>
      </c>
      <c r="O47" s="20">
        <f t="shared" si="28"/>
        <v>3</v>
      </c>
      <c r="P47" s="6">
        <v>69</v>
      </c>
      <c r="Q47" s="21">
        <f t="shared" si="29"/>
        <v>0.83132530120481929</v>
      </c>
      <c r="R47" s="7">
        <v>65</v>
      </c>
      <c r="S47" s="6">
        <v>61</v>
      </c>
      <c r="T47" s="20">
        <f t="shared" si="30"/>
        <v>10</v>
      </c>
      <c r="U47" s="13">
        <v>71</v>
      </c>
      <c r="V47" s="21">
        <f t="shared" si="31"/>
        <v>1.0923076923076922</v>
      </c>
      <c r="W47" s="7">
        <v>65</v>
      </c>
      <c r="X47" s="6">
        <v>66</v>
      </c>
      <c r="Y47" s="20">
        <f t="shared" si="32"/>
        <v>10</v>
      </c>
      <c r="Z47" s="13">
        <v>76</v>
      </c>
      <c r="AA47" s="21">
        <f t="shared" si="33"/>
        <v>1.1692307692307693</v>
      </c>
      <c r="AB47" s="7">
        <v>85</v>
      </c>
      <c r="AC47" s="7">
        <v>78</v>
      </c>
      <c r="AD47" s="20">
        <f t="shared" si="34"/>
        <v>33</v>
      </c>
      <c r="AE47" s="6">
        <v>111</v>
      </c>
      <c r="AF47" s="21">
        <f t="shared" si="35"/>
        <v>1.3058823529411765</v>
      </c>
      <c r="AG47" s="7">
        <v>89</v>
      </c>
      <c r="AH47" s="7">
        <v>75</v>
      </c>
      <c r="AI47" s="20">
        <f t="shared" si="12"/>
        <v>41</v>
      </c>
      <c r="AJ47" s="6">
        <v>116</v>
      </c>
      <c r="AK47" s="21">
        <f t="shared" si="36"/>
        <v>1.303370786516854</v>
      </c>
      <c r="AL47" s="7">
        <v>101</v>
      </c>
      <c r="AM47" s="7">
        <v>87</v>
      </c>
      <c r="AN47" s="20">
        <f t="shared" si="37"/>
        <v>52</v>
      </c>
      <c r="AO47" s="6">
        <v>139</v>
      </c>
      <c r="AP47" s="21">
        <f t="shared" si="38"/>
        <v>1.3762376237623761</v>
      </c>
      <c r="AQ47" s="7">
        <v>117</v>
      </c>
      <c r="AR47" s="7">
        <v>119</v>
      </c>
      <c r="AS47" s="20">
        <f t="shared" si="39"/>
        <v>44</v>
      </c>
      <c r="AT47" s="6">
        <v>163</v>
      </c>
      <c r="AU47" s="21">
        <f t="shared" si="40"/>
        <v>1.3931623931623931</v>
      </c>
      <c r="AV47" s="7">
        <v>148</v>
      </c>
      <c r="AW47" s="7">
        <v>123</v>
      </c>
      <c r="AX47" s="20">
        <f t="shared" si="41"/>
        <v>35</v>
      </c>
      <c r="AY47" s="6">
        <v>158</v>
      </c>
      <c r="AZ47" s="21">
        <f t="shared" si="42"/>
        <v>1.0675675675675675</v>
      </c>
      <c r="BA47" s="7">
        <v>170</v>
      </c>
      <c r="BB47" s="7">
        <v>122</v>
      </c>
      <c r="BC47" s="20">
        <f t="shared" si="43"/>
        <v>11</v>
      </c>
      <c r="BD47" s="6">
        <v>133</v>
      </c>
      <c r="BE47" s="21">
        <f t="shared" si="44"/>
        <v>0.78235294117647058</v>
      </c>
      <c r="BF47" s="7">
        <v>87</v>
      </c>
      <c r="BG47" s="7">
        <v>85</v>
      </c>
      <c r="BH47" s="20">
        <f t="shared" si="45"/>
        <v>20</v>
      </c>
      <c r="BI47" s="6">
        <v>105</v>
      </c>
      <c r="BJ47" s="21">
        <f t="shared" si="46"/>
        <v>1.2068965517241379</v>
      </c>
    </row>
    <row r="48" spans="1:62" x14ac:dyDescent="0.3">
      <c r="A48" s="27" t="s">
        <v>44</v>
      </c>
      <c r="B48" s="27"/>
      <c r="C48" s="9">
        <f>SUM(C10:C47)</f>
        <v>8203132</v>
      </c>
      <c r="D48" s="9">
        <f>SUM(D10:D47)</f>
        <v>6598893</v>
      </c>
      <c r="E48" s="11">
        <f t="shared" si="24"/>
        <v>1528981</v>
      </c>
      <c r="F48" s="10">
        <f>SUM(F10:F47)</f>
        <v>8127874</v>
      </c>
      <c r="G48" s="12">
        <f t="shared" si="25"/>
        <v>0.99082569925730801</v>
      </c>
      <c r="H48" s="9">
        <f>SUM(H10:H47)</f>
        <v>8506140</v>
      </c>
      <c r="I48" s="9">
        <f>SUM(I10:I47)</f>
        <v>6822919</v>
      </c>
      <c r="J48" s="11">
        <f t="shared" si="26"/>
        <v>1391220</v>
      </c>
      <c r="K48" s="10">
        <f>SUM(K10:K47)</f>
        <v>8214139</v>
      </c>
      <c r="L48" s="12">
        <f t="shared" si="27"/>
        <v>0.96567173829727704</v>
      </c>
      <c r="M48" s="9">
        <f>SUM(M10:M47)</f>
        <v>12747678</v>
      </c>
      <c r="N48" s="9">
        <f>SUM(N10:N47)</f>
        <v>10410254</v>
      </c>
      <c r="O48" s="11">
        <f t="shared" si="28"/>
        <v>2220080</v>
      </c>
      <c r="P48" s="10">
        <f>SUM(P10:P47)</f>
        <v>12630334</v>
      </c>
      <c r="Q48" s="12">
        <f t="shared" si="29"/>
        <v>0.99079487260346555</v>
      </c>
      <c r="R48" s="9">
        <f>SUM(R10:R47)</f>
        <v>8263351</v>
      </c>
      <c r="S48" s="9">
        <f>SUM(S10:S47)</f>
        <v>6730581</v>
      </c>
      <c r="T48" s="11">
        <f t="shared" si="30"/>
        <v>1481342</v>
      </c>
      <c r="U48" s="10">
        <f>SUM(U10:U47)</f>
        <v>8211923</v>
      </c>
      <c r="V48" s="12">
        <f t="shared" si="31"/>
        <v>0.9937763747419176</v>
      </c>
      <c r="W48" s="9">
        <f>SUM(W10:W47)</f>
        <v>8415327</v>
      </c>
      <c r="X48" s="9">
        <f>SUM(X10:X47)</f>
        <v>6752627</v>
      </c>
      <c r="Y48" s="11">
        <f t="shared" si="32"/>
        <v>1498821</v>
      </c>
      <c r="Z48" s="10">
        <f>SUM(Z10:Z47)</f>
        <v>8251448</v>
      </c>
      <c r="AA48" s="12">
        <f t="shared" si="33"/>
        <v>0.98052612809935968</v>
      </c>
      <c r="AB48" s="9">
        <f>SUM(AB10:AB47)</f>
        <v>12869238</v>
      </c>
      <c r="AC48" s="9">
        <f>SUM(AC10:AC47)</f>
        <v>10280460</v>
      </c>
      <c r="AD48" s="11">
        <f t="shared" si="34"/>
        <v>2445328</v>
      </c>
      <c r="AE48" s="10">
        <f>SUM(AE10:AE47)</f>
        <v>12725788</v>
      </c>
      <c r="AF48" s="12">
        <f t="shared" si="35"/>
        <v>0.98885326388399997</v>
      </c>
      <c r="AG48" s="9">
        <f>SUM(AG10:AG47)</f>
        <v>8354781</v>
      </c>
      <c r="AH48" s="9">
        <f>SUM(AH10:AH47)</f>
        <v>6561338</v>
      </c>
      <c r="AI48" s="11">
        <f t="shared" ref="AI48" si="47">AJ48-AH48</f>
        <v>1724807</v>
      </c>
      <c r="AJ48" s="10">
        <f>SUM(AJ10:AJ47)</f>
        <v>8286145</v>
      </c>
      <c r="AK48" s="12">
        <f t="shared" ref="AK48" si="48">AJ48/AG48</f>
        <v>0.99178482356389708</v>
      </c>
      <c r="AL48" s="9">
        <f>SUM(AL10:AL47)</f>
        <v>8485950</v>
      </c>
      <c r="AM48" s="9">
        <f>SUM(AM10:AM47)</f>
        <v>6967486</v>
      </c>
      <c r="AN48" s="11">
        <f t="shared" si="37"/>
        <v>1393540</v>
      </c>
      <c r="AO48" s="10">
        <f>SUM(AO10:AO47)</f>
        <v>8361026</v>
      </c>
      <c r="AP48" s="12">
        <f t="shared" si="38"/>
        <v>0.9852787254226103</v>
      </c>
      <c r="AQ48" s="9">
        <f>SUM(AQ10:AQ47)</f>
        <v>12996332</v>
      </c>
      <c r="AR48" s="9">
        <f>SUM(AR10:AR47)</f>
        <v>10858794</v>
      </c>
      <c r="AS48" s="11">
        <f t="shared" si="39"/>
        <v>2042202</v>
      </c>
      <c r="AT48" s="10">
        <f>SUM(AT10:AT47)</f>
        <v>12900996</v>
      </c>
      <c r="AU48" s="12">
        <f t="shared" si="40"/>
        <v>0.99266439176838506</v>
      </c>
      <c r="AV48" s="9">
        <f>SUM(AV10:AV47)</f>
        <v>8480313</v>
      </c>
      <c r="AW48" s="9">
        <f>SUM(AW10:AW47)</f>
        <v>7028471</v>
      </c>
      <c r="AX48" s="11">
        <f t="shared" si="41"/>
        <v>1412548</v>
      </c>
      <c r="AY48" s="10">
        <f>SUM(AY10:AY47)</f>
        <v>8441019</v>
      </c>
      <c r="AZ48" s="12">
        <f t="shared" si="42"/>
        <v>0.99536644461118362</v>
      </c>
      <c r="BA48" s="9">
        <f>SUM(BA10:BA47)</f>
        <v>8644590</v>
      </c>
      <c r="BB48" s="9">
        <f>SUM(BB10:BB47)</f>
        <v>7130054</v>
      </c>
      <c r="BC48" s="11">
        <f t="shared" si="43"/>
        <v>1400838</v>
      </c>
      <c r="BD48" s="10">
        <f>SUM(BD10:BD47)</f>
        <v>8530892</v>
      </c>
      <c r="BE48" s="12">
        <f t="shared" si="44"/>
        <v>0.98684749652672943</v>
      </c>
      <c r="BF48" s="9">
        <f>SUM(BF10:BF47)</f>
        <v>13208690</v>
      </c>
      <c r="BG48" s="9">
        <f>SUM(BG10:BG47)</f>
        <v>10158618</v>
      </c>
      <c r="BH48" s="11">
        <f t="shared" si="45"/>
        <v>2948125</v>
      </c>
      <c r="BI48" s="10">
        <f>SUM(BI10:BI47)</f>
        <v>13106743</v>
      </c>
      <c r="BJ48" s="12">
        <f t="shared" si="46"/>
        <v>0.9922818235570674</v>
      </c>
    </row>
    <row r="49" spans="1:6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 x14ac:dyDescent="0.3">
      <c r="A58" s="19" t="s">
        <v>45</v>
      </c>
      <c r="B58" s="19"/>
      <c r="C58" s="19"/>
      <c r="D58" s="1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 x14ac:dyDescent="0.3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 x14ac:dyDescent="0.3"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 x14ac:dyDescent="0.3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</sheetData>
  <mergeCells count="16">
    <mergeCell ref="A48:B48"/>
    <mergeCell ref="A8:A9"/>
    <mergeCell ref="B8:B9"/>
    <mergeCell ref="R8:V8"/>
    <mergeCell ref="M8:Q8"/>
    <mergeCell ref="C8:G8"/>
    <mergeCell ref="BF8:BJ8"/>
    <mergeCell ref="H8:L8"/>
    <mergeCell ref="A3:B3"/>
    <mergeCell ref="W8:AA8"/>
    <mergeCell ref="BA8:BE8"/>
    <mergeCell ref="AV8:AZ8"/>
    <mergeCell ref="AQ8:AU8"/>
    <mergeCell ref="AL8:AP8"/>
    <mergeCell ref="AG8:AK8"/>
    <mergeCell ref="AB8:A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Mandal</dc:creator>
  <cp:lastModifiedBy>Krishan Pal Singh</cp:lastModifiedBy>
  <dcterms:created xsi:type="dcterms:W3CDTF">2021-12-17T09:07:06Z</dcterms:created>
  <dcterms:modified xsi:type="dcterms:W3CDTF">2026-02-13T07:40:55Z</dcterms:modified>
</cp:coreProperties>
</file>