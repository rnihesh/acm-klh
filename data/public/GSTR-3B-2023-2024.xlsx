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GSTN\Krishnan Sir\Monthly Report\Jan-26\GST Statistics Downloads 31st Jan 26\Downloads\GSTR 3B\"/>
    </mc:Choice>
  </mc:AlternateContent>
  <xr:revisionPtr revIDLastSave="0" documentId="13_ncr:1_{DBABEEC8-C85A-4659-B891-DE456DD0F56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STR-3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" i="1" l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BI48" i="1"/>
  <c r="BG48" i="1"/>
  <c r="BF48" i="1"/>
  <c r="BJ47" i="1"/>
  <c r="BH47" i="1"/>
  <c r="BJ46" i="1"/>
  <c r="BH46" i="1"/>
  <c r="BJ45" i="1"/>
  <c r="BH45" i="1"/>
  <c r="BJ44" i="1"/>
  <c r="BH44" i="1"/>
  <c r="BJ43" i="1"/>
  <c r="BH43" i="1"/>
  <c r="BJ42" i="1"/>
  <c r="BH42" i="1"/>
  <c r="BJ41" i="1"/>
  <c r="BH41" i="1"/>
  <c r="BJ40" i="1"/>
  <c r="BH40" i="1"/>
  <c r="BJ39" i="1"/>
  <c r="BH39" i="1"/>
  <c r="BJ38" i="1"/>
  <c r="BH38" i="1"/>
  <c r="BJ37" i="1"/>
  <c r="BH37" i="1"/>
  <c r="BJ36" i="1"/>
  <c r="BH36" i="1"/>
  <c r="BJ35" i="1"/>
  <c r="BH35" i="1"/>
  <c r="BJ33" i="1"/>
  <c r="BH33" i="1"/>
  <c r="BJ32" i="1"/>
  <c r="BH32" i="1"/>
  <c r="BJ31" i="1"/>
  <c r="BH31" i="1"/>
  <c r="BJ30" i="1"/>
  <c r="BH30" i="1"/>
  <c r="BJ29" i="1"/>
  <c r="BH29" i="1"/>
  <c r="BJ28" i="1"/>
  <c r="BH28" i="1"/>
  <c r="BJ27" i="1"/>
  <c r="BH27" i="1"/>
  <c r="BJ26" i="1"/>
  <c r="BH26" i="1"/>
  <c r="BJ25" i="1"/>
  <c r="BH25" i="1"/>
  <c r="BJ24" i="1"/>
  <c r="BH24" i="1"/>
  <c r="BJ23" i="1"/>
  <c r="BH23" i="1"/>
  <c r="BJ22" i="1"/>
  <c r="BH22" i="1"/>
  <c r="BJ21" i="1"/>
  <c r="BH21" i="1"/>
  <c r="BJ20" i="1"/>
  <c r="BH20" i="1"/>
  <c r="BJ19" i="1"/>
  <c r="BH19" i="1"/>
  <c r="BJ18" i="1"/>
  <c r="BH18" i="1"/>
  <c r="BJ17" i="1"/>
  <c r="BH17" i="1"/>
  <c r="BJ16" i="1"/>
  <c r="BH16" i="1"/>
  <c r="BJ15" i="1"/>
  <c r="BH15" i="1"/>
  <c r="BJ14" i="1"/>
  <c r="BH14" i="1"/>
  <c r="BJ13" i="1"/>
  <c r="BH13" i="1"/>
  <c r="BJ12" i="1"/>
  <c r="BH12" i="1"/>
  <c r="BJ11" i="1"/>
  <c r="BH11" i="1"/>
  <c r="BJ10" i="1"/>
  <c r="BH10" i="1"/>
  <c r="BD48" i="1"/>
  <c r="BB48" i="1"/>
  <c r="BA48" i="1"/>
  <c r="BE47" i="1"/>
  <c r="BC47" i="1"/>
  <c r="BE46" i="1"/>
  <c r="BC46" i="1"/>
  <c r="BE45" i="1"/>
  <c r="BC45" i="1"/>
  <c r="BE44" i="1"/>
  <c r="BC44" i="1"/>
  <c r="BE43" i="1"/>
  <c r="BC43" i="1"/>
  <c r="BE42" i="1"/>
  <c r="BC42" i="1"/>
  <c r="BE41" i="1"/>
  <c r="BC41" i="1"/>
  <c r="BE40" i="1"/>
  <c r="BC40" i="1"/>
  <c r="BE39" i="1"/>
  <c r="BC39" i="1"/>
  <c r="BE38" i="1"/>
  <c r="BC38" i="1"/>
  <c r="BE37" i="1"/>
  <c r="BC37" i="1"/>
  <c r="BE36" i="1"/>
  <c r="BC36" i="1"/>
  <c r="BE35" i="1"/>
  <c r="BC35" i="1"/>
  <c r="BE33" i="1"/>
  <c r="BC33" i="1"/>
  <c r="BE32" i="1"/>
  <c r="BC32" i="1"/>
  <c r="BE31" i="1"/>
  <c r="BC31" i="1"/>
  <c r="BE30" i="1"/>
  <c r="BC30" i="1"/>
  <c r="BE29" i="1"/>
  <c r="BC29" i="1"/>
  <c r="BE28" i="1"/>
  <c r="BC28" i="1"/>
  <c r="BE27" i="1"/>
  <c r="BC27" i="1"/>
  <c r="BE26" i="1"/>
  <c r="BC26" i="1"/>
  <c r="BE25" i="1"/>
  <c r="BC25" i="1"/>
  <c r="BE24" i="1"/>
  <c r="BC24" i="1"/>
  <c r="BE23" i="1"/>
  <c r="BC23" i="1"/>
  <c r="BE22" i="1"/>
  <c r="BC22" i="1"/>
  <c r="BE21" i="1"/>
  <c r="BC21" i="1"/>
  <c r="BE20" i="1"/>
  <c r="BC20" i="1"/>
  <c r="BE19" i="1"/>
  <c r="BC19" i="1"/>
  <c r="BE18" i="1"/>
  <c r="BC18" i="1"/>
  <c r="BE17" i="1"/>
  <c r="BC17" i="1"/>
  <c r="BE16" i="1"/>
  <c r="BC16" i="1"/>
  <c r="BE15" i="1"/>
  <c r="BC15" i="1"/>
  <c r="BE14" i="1"/>
  <c r="BC14" i="1"/>
  <c r="BE13" i="1"/>
  <c r="BC13" i="1"/>
  <c r="BE12" i="1"/>
  <c r="BC12" i="1"/>
  <c r="BE11" i="1"/>
  <c r="BC11" i="1"/>
  <c r="BE10" i="1"/>
  <c r="BC10" i="1"/>
  <c r="AY48" i="1"/>
  <c r="AW48" i="1"/>
  <c r="AV48" i="1"/>
  <c r="AZ47" i="1"/>
  <c r="AX47" i="1"/>
  <c r="AZ46" i="1"/>
  <c r="AX46" i="1"/>
  <c r="AZ45" i="1"/>
  <c r="AX45" i="1"/>
  <c r="AZ44" i="1"/>
  <c r="AX44" i="1"/>
  <c r="AZ43" i="1"/>
  <c r="AX43" i="1"/>
  <c r="AZ42" i="1"/>
  <c r="AX42" i="1"/>
  <c r="AZ41" i="1"/>
  <c r="AX41" i="1"/>
  <c r="AZ40" i="1"/>
  <c r="AX40" i="1"/>
  <c r="AZ39" i="1"/>
  <c r="AX39" i="1"/>
  <c r="AZ38" i="1"/>
  <c r="AX38" i="1"/>
  <c r="AZ37" i="1"/>
  <c r="AX37" i="1"/>
  <c r="AZ36" i="1"/>
  <c r="AX36" i="1"/>
  <c r="AZ35" i="1"/>
  <c r="AX35" i="1"/>
  <c r="AZ33" i="1"/>
  <c r="AX33" i="1"/>
  <c r="AZ32" i="1"/>
  <c r="AX32" i="1"/>
  <c r="AZ31" i="1"/>
  <c r="AX31" i="1"/>
  <c r="AZ30" i="1"/>
  <c r="AX30" i="1"/>
  <c r="AZ29" i="1"/>
  <c r="AX29" i="1"/>
  <c r="AZ28" i="1"/>
  <c r="AX28" i="1"/>
  <c r="AZ27" i="1"/>
  <c r="AX27" i="1"/>
  <c r="AZ26" i="1"/>
  <c r="AX26" i="1"/>
  <c r="AZ25" i="1"/>
  <c r="AX25" i="1"/>
  <c r="AZ24" i="1"/>
  <c r="AX24" i="1"/>
  <c r="AZ23" i="1"/>
  <c r="AX23" i="1"/>
  <c r="AZ22" i="1"/>
  <c r="AX22" i="1"/>
  <c r="AZ21" i="1"/>
  <c r="AX21" i="1"/>
  <c r="AZ20" i="1"/>
  <c r="AX20" i="1"/>
  <c r="AZ19" i="1"/>
  <c r="AX19" i="1"/>
  <c r="AZ18" i="1"/>
  <c r="AX18" i="1"/>
  <c r="AZ17" i="1"/>
  <c r="AX17" i="1"/>
  <c r="AZ16" i="1"/>
  <c r="AX16" i="1"/>
  <c r="AZ15" i="1"/>
  <c r="AX15" i="1"/>
  <c r="AZ14" i="1"/>
  <c r="AX14" i="1"/>
  <c r="AZ13" i="1"/>
  <c r="AX13" i="1"/>
  <c r="AZ12" i="1"/>
  <c r="AX12" i="1"/>
  <c r="AZ11" i="1"/>
  <c r="AX11" i="1"/>
  <c r="AZ10" i="1"/>
  <c r="AX10" i="1"/>
  <c r="AT48" i="1"/>
  <c r="AR48" i="1"/>
  <c r="AQ48" i="1"/>
  <c r="AU47" i="1"/>
  <c r="AS47" i="1"/>
  <c r="AU46" i="1"/>
  <c r="AS46" i="1"/>
  <c r="AU45" i="1"/>
  <c r="AS45" i="1"/>
  <c r="AU44" i="1"/>
  <c r="AS44" i="1"/>
  <c r="AU43" i="1"/>
  <c r="AS43" i="1"/>
  <c r="AU42" i="1"/>
  <c r="AS42" i="1"/>
  <c r="AU41" i="1"/>
  <c r="AS41" i="1"/>
  <c r="AU40" i="1"/>
  <c r="AS40" i="1"/>
  <c r="AU39" i="1"/>
  <c r="AS39" i="1"/>
  <c r="AU38" i="1"/>
  <c r="AS38" i="1"/>
  <c r="AU37" i="1"/>
  <c r="AS37" i="1"/>
  <c r="AU36" i="1"/>
  <c r="AS36" i="1"/>
  <c r="AU35" i="1"/>
  <c r="AS35" i="1"/>
  <c r="AU33" i="1"/>
  <c r="AS33" i="1"/>
  <c r="AU32" i="1"/>
  <c r="AS32" i="1"/>
  <c r="AU31" i="1"/>
  <c r="AS31" i="1"/>
  <c r="AU30" i="1"/>
  <c r="AS30" i="1"/>
  <c r="AU29" i="1"/>
  <c r="AS29" i="1"/>
  <c r="AU28" i="1"/>
  <c r="AS28" i="1"/>
  <c r="AU27" i="1"/>
  <c r="AS27" i="1"/>
  <c r="AU26" i="1"/>
  <c r="AS26" i="1"/>
  <c r="AU25" i="1"/>
  <c r="AS25" i="1"/>
  <c r="AU24" i="1"/>
  <c r="AS24" i="1"/>
  <c r="AU23" i="1"/>
  <c r="AS23" i="1"/>
  <c r="AU22" i="1"/>
  <c r="AS22" i="1"/>
  <c r="AU21" i="1"/>
  <c r="AS21" i="1"/>
  <c r="AU20" i="1"/>
  <c r="AS20" i="1"/>
  <c r="AU19" i="1"/>
  <c r="AS19" i="1"/>
  <c r="AU18" i="1"/>
  <c r="AS18" i="1"/>
  <c r="AU17" i="1"/>
  <c r="AS17" i="1"/>
  <c r="AU16" i="1"/>
  <c r="AS16" i="1"/>
  <c r="AU15" i="1"/>
  <c r="AS15" i="1"/>
  <c r="AU14" i="1"/>
  <c r="AS14" i="1"/>
  <c r="AU13" i="1"/>
  <c r="AS13" i="1"/>
  <c r="AU12" i="1"/>
  <c r="AS12" i="1"/>
  <c r="AU11" i="1"/>
  <c r="AS11" i="1"/>
  <c r="AU10" i="1"/>
  <c r="AS10" i="1"/>
  <c r="AO48" i="1"/>
  <c r="AM48" i="1"/>
  <c r="AL48" i="1"/>
  <c r="AP47" i="1"/>
  <c r="AN47" i="1"/>
  <c r="AP46" i="1"/>
  <c r="AN46" i="1"/>
  <c r="AP45" i="1"/>
  <c r="AN45" i="1"/>
  <c r="AP44" i="1"/>
  <c r="AN44" i="1"/>
  <c r="AP43" i="1"/>
  <c r="AN43" i="1"/>
  <c r="AP42" i="1"/>
  <c r="AN42" i="1"/>
  <c r="AP41" i="1"/>
  <c r="AN41" i="1"/>
  <c r="AP40" i="1"/>
  <c r="AN40" i="1"/>
  <c r="AP39" i="1"/>
  <c r="AN39" i="1"/>
  <c r="AP38" i="1"/>
  <c r="AN38" i="1"/>
  <c r="AP37" i="1"/>
  <c r="AN37" i="1"/>
  <c r="AP36" i="1"/>
  <c r="AN36" i="1"/>
  <c r="AP35" i="1"/>
  <c r="AN35" i="1"/>
  <c r="AP33" i="1"/>
  <c r="AN33" i="1"/>
  <c r="AP32" i="1"/>
  <c r="AN32" i="1"/>
  <c r="AP31" i="1"/>
  <c r="AN31" i="1"/>
  <c r="AP30" i="1"/>
  <c r="AN30" i="1"/>
  <c r="AP29" i="1"/>
  <c r="AN29" i="1"/>
  <c r="AP28" i="1"/>
  <c r="AN28" i="1"/>
  <c r="AP27" i="1"/>
  <c r="AN27" i="1"/>
  <c r="AP26" i="1"/>
  <c r="AN26" i="1"/>
  <c r="AP25" i="1"/>
  <c r="AN25" i="1"/>
  <c r="AP24" i="1"/>
  <c r="AN24" i="1"/>
  <c r="AP23" i="1"/>
  <c r="AN23" i="1"/>
  <c r="AP22" i="1"/>
  <c r="AN22" i="1"/>
  <c r="AP21" i="1"/>
  <c r="AN21" i="1"/>
  <c r="AP20" i="1"/>
  <c r="AN20" i="1"/>
  <c r="AP19" i="1"/>
  <c r="AN19" i="1"/>
  <c r="AP18" i="1"/>
  <c r="AN18" i="1"/>
  <c r="AP17" i="1"/>
  <c r="AN17" i="1"/>
  <c r="AP16" i="1"/>
  <c r="AN16" i="1"/>
  <c r="AP15" i="1"/>
  <c r="AN15" i="1"/>
  <c r="AP14" i="1"/>
  <c r="AN14" i="1"/>
  <c r="AP13" i="1"/>
  <c r="AN13" i="1"/>
  <c r="AP12" i="1"/>
  <c r="AN12" i="1"/>
  <c r="AP11" i="1"/>
  <c r="AN11" i="1"/>
  <c r="AP10" i="1"/>
  <c r="AN10" i="1"/>
  <c r="BJ48" i="1" l="1"/>
  <c r="BH48" i="1"/>
  <c r="BE48" i="1"/>
  <c r="BC48" i="1"/>
  <c r="AZ48" i="1"/>
  <c r="AX48" i="1"/>
  <c r="AU48" i="1"/>
  <c r="AS48" i="1"/>
  <c r="AN48" i="1"/>
  <c r="AP48" i="1"/>
  <c r="AJ48" i="1"/>
  <c r="AH48" i="1"/>
  <c r="AG48" i="1"/>
  <c r="AK47" i="1"/>
  <c r="AI47" i="1"/>
  <c r="AK46" i="1"/>
  <c r="AI46" i="1"/>
  <c r="AK45" i="1"/>
  <c r="AI45" i="1"/>
  <c r="AK44" i="1"/>
  <c r="AI44" i="1"/>
  <c r="AK43" i="1"/>
  <c r="AI43" i="1"/>
  <c r="AK42" i="1"/>
  <c r="AI42" i="1"/>
  <c r="AK41" i="1"/>
  <c r="AI41" i="1"/>
  <c r="AK40" i="1"/>
  <c r="AI40" i="1"/>
  <c r="AK39" i="1"/>
  <c r="AI39" i="1"/>
  <c r="AK38" i="1"/>
  <c r="AI38" i="1"/>
  <c r="AK37" i="1"/>
  <c r="AI37" i="1"/>
  <c r="AK36" i="1"/>
  <c r="AI36" i="1"/>
  <c r="AK35" i="1"/>
  <c r="AI35" i="1"/>
  <c r="AK33" i="1"/>
  <c r="AI33" i="1"/>
  <c r="AK32" i="1"/>
  <c r="AI32" i="1"/>
  <c r="AK31" i="1"/>
  <c r="AI31" i="1"/>
  <c r="AK30" i="1"/>
  <c r="AI30" i="1"/>
  <c r="AK29" i="1"/>
  <c r="AI29" i="1"/>
  <c r="AK28" i="1"/>
  <c r="AI28" i="1"/>
  <c r="AK27" i="1"/>
  <c r="AI27" i="1"/>
  <c r="AK26" i="1"/>
  <c r="AI26" i="1"/>
  <c r="AK25" i="1"/>
  <c r="AI25" i="1"/>
  <c r="AK24" i="1"/>
  <c r="AI24" i="1"/>
  <c r="AK23" i="1"/>
  <c r="AI23" i="1"/>
  <c r="AK22" i="1"/>
  <c r="AI22" i="1"/>
  <c r="AK21" i="1"/>
  <c r="AI21" i="1"/>
  <c r="AK20" i="1"/>
  <c r="AI20" i="1"/>
  <c r="AK19" i="1"/>
  <c r="AI19" i="1"/>
  <c r="AK18" i="1"/>
  <c r="AI18" i="1"/>
  <c r="AK17" i="1"/>
  <c r="AI17" i="1"/>
  <c r="AK16" i="1"/>
  <c r="AI16" i="1"/>
  <c r="AK15" i="1"/>
  <c r="AI15" i="1"/>
  <c r="AK14" i="1"/>
  <c r="AI14" i="1"/>
  <c r="AK13" i="1"/>
  <c r="AI13" i="1"/>
  <c r="AK12" i="1"/>
  <c r="AI12" i="1"/>
  <c r="AK11" i="1"/>
  <c r="AI11" i="1"/>
  <c r="AK10" i="1"/>
  <c r="AI10" i="1"/>
  <c r="AK48" i="1" l="1"/>
  <c r="AI48" i="1"/>
  <c r="Z48" i="1" l="1"/>
  <c r="X48" i="1"/>
  <c r="W48" i="1"/>
  <c r="AA47" i="1"/>
  <c r="Y47" i="1"/>
  <c r="AA46" i="1"/>
  <c r="Y46" i="1"/>
  <c r="AA45" i="1"/>
  <c r="Y45" i="1"/>
  <c r="AA44" i="1"/>
  <c r="Y44" i="1"/>
  <c r="AA43" i="1"/>
  <c r="Y43" i="1"/>
  <c r="AA42" i="1"/>
  <c r="Y42" i="1"/>
  <c r="AA41" i="1"/>
  <c r="Y41" i="1"/>
  <c r="AA40" i="1"/>
  <c r="Y40" i="1"/>
  <c r="AA39" i="1"/>
  <c r="Y39" i="1"/>
  <c r="AA38" i="1"/>
  <c r="Y38" i="1"/>
  <c r="AA37" i="1"/>
  <c r="Y37" i="1"/>
  <c r="AA36" i="1"/>
  <c r="Y36" i="1"/>
  <c r="AA35" i="1"/>
  <c r="Y35" i="1"/>
  <c r="AA33" i="1"/>
  <c r="Y33" i="1"/>
  <c r="AA32" i="1"/>
  <c r="Y32" i="1"/>
  <c r="AA31" i="1"/>
  <c r="Y31" i="1"/>
  <c r="AA30" i="1"/>
  <c r="Y30" i="1"/>
  <c r="AA29" i="1"/>
  <c r="Y29" i="1"/>
  <c r="AA28" i="1"/>
  <c r="Y28" i="1"/>
  <c r="AA27" i="1"/>
  <c r="Y27" i="1"/>
  <c r="AA26" i="1"/>
  <c r="Y26" i="1"/>
  <c r="AA25" i="1"/>
  <c r="Y25" i="1"/>
  <c r="AA24" i="1"/>
  <c r="Y24" i="1"/>
  <c r="AA23" i="1"/>
  <c r="Y23" i="1"/>
  <c r="AA22" i="1"/>
  <c r="Y22" i="1"/>
  <c r="AA21" i="1"/>
  <c r="Y21" i="1"/>
  <c r="AA20" i="1"/>
  <c r="Y20" i="1"/>
  <c r="AA19" i="1"/>
  <c r="Y19" i="1"/>
  <c r="AA18" i="1"/>
  <c r="Y18" i="1"/>
  <c r="AA17" i="1"/>
  <c r="Y17" i="1"/>
  <c r="AA16" i="1"/>
  <c r="Y16" i="1"/>
  <c r="AA15" i="1"/>
  <c r="Y15" i="1"/>
  <c r="AA14" i="1"/>
  <c r="Y14" i="1"/>
  <c r="AA13" i="1"/>
  <c r="Y13" i="1"/>
  <c r="AA12" i="1"/>
  <c r="Y12" i="1"/>
  <c r="AA11" i="1"/>
  <c r="Y11" i="1"/>
  <c r="AA10" i="1"/>
  <c r="Y10" i="1"/>
  <c r="AA48" i="1" l="1"/>
  <c r="Y48" i="1"/>
  <c r="AE48" i="1"/>
  <c r="AC48" i="1"/>
  <c r="AB48" i="1"/>
  <c r="AF47" i="1"/>
  <c r="AD47" i="1"/>
  <c r="AF46" i="1"/>
  <c r="AD46" i="1"/>
  <c r="AF45" i="1"/>
  <c r="AD45" i="1"/>
  <c r="AF44" i="1"/>
  <c r="AD44" i="1"/>
  <c r="AF43" i="1"/>
  <c r="AD43" i="1"/>
  <c r="AF42" i="1"/>
  <c r="AD42" i="1"/>
  <c r="AF41" i="1"/>
  <c r="AD41" i="1"/>
  <c r="AF40" i="1"/>
  <c r="AD40" i="1"/>
  <c r="AF39" i="1"/>
  <c r="AD39" i="1"/>
  <c r="AF38" i="1"/>
  <c r="AD38" i="1"/>
  <c r="AF37" i="1"/>
  <c r="AD37" i="1"/>
  <c r="AF36" i="1"/>
  <c r="AD36" i="1"/>
  <c r="AF35" i="1"/>
  <c r="AD35" i="1"/>
  <c r="AF33" i="1"/>
  <c r="AD33" i="1"/>
  <c r="AF32" i="1"/>
  <c r="AD32" i="1"/>
  <c r="AF31" i="1"/>
  <c r="AD31" i="1"/>
  <c r="AF30" i="1"/>
  <c r="AD30" i="1"/>
  <c r="AF29" i="1"/>
  <c r="AD29" i="1"/>
  <c r="AF28" i="1"/>
  <c r="AD28" i="1"/>
  <c r="AF27" i="1"/>
  <c r="AD27" i="1"/>
  <c r="AF26" i="1"/>
  <c r="AD26" i="1"/>
  <c r="AF25" i="1"/>
  <c r="AD25" i="1"/>
  <c r="AF24" i="1"/>
  <c r="AD24" i="1"/>
  <c r="AF23" i="1"/>
  <c r="AD23" i="1"/>
  <c r="AF22" i="1"/>
  <c r="AD22" i="1"/>
  <c r="AF21" i="1"/>
  <c r="AD21" i="1"/>
  <c r="AF20" i="1"/>
  <c r="AD20" i="1"/>
  <c r="AF19" i="1"/>
  <c r="AD19" i="1"/>
  <c r="AF18" i="1"/>
  <c r="AD18" i="1"/>
  <c r="AF17" i="1"/>
  <c r="AD17" i="1"/>
  <c r="AF16" i="1"/>
  <c r="AD16" i="1"/>
  <c r="AF15" i="1"/>
  <c r="AD15" i="1"/>
  <c r="AF14" i="1"/>
  <c r="AD14" i="1"/>
  <c r="AF13" i="1"/>
  <c r="AD13" i="1"/>
  <c r="AF12" i="1"/>
  <c r="AD12" i="1"/>
  <c r="AF11" i="1"/>
  <c r="AD11" i="1"/>
  <c r="AF10" i="1"/>
  <c r="AD10" i="1"/>
  <c r="AD48" i="1" l="1"/>
  <c r="AF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P48" i="1" l="1"/>
  <c r="N48" i="1"/>
  <c r="M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48" i="1" l="1"/>
  <c r="O48" i="1"/>
  <c r="K48" i="1"/>
  <c r="I48" i="1"/>
  <c r="H48" i="1"/>
  <c r="L47" i="1"/>
  <c r="J47" i="1"/>
  <c r="L46" i="1"/>
  <c r="J46" i="1"/>
  <c r="L45" i="1"/>
  <c r="J45" i="1"/>
  <c r="L44" i="1"/>
  <c r="J44" i="1"/>
  <c r="L43" i="1"/>
  <c r="J43" i="1"/>
  <c r="L42" i="1"/>
  <c r="J42" i="1"/>
  <c r="L41" i="1"/>
  <c r="J41" i="1"/>
  <c r="L40" i="1"/>
  <c r="J40" i="1"/>
  <c r="L39" i="1"/>
  <c r="J39" i="1"/>
  <c r="L38" i="1"/>
  <c r="J38" i="1"/>
  <c r="L37" i="1"/>
  <c r="J37" i="1"/>
  <c r="L36" i="1"/>
  <c r="J36" i="1"/>
  <c r="L35" i="1"/>
  <c r="J35" i="1"/>
  <c r="L33" i="1"/>
  <c r="J33" i="1"/>
  <c r="L32" i="1"/>
  <c r="J32" i="1"/>
  <c r="L31" i="1"/>
  <c r="J31" i="1"/>
  <c r="L30" i="1"/>
  <c r="J30" i="1"/>
  <c r="L29" i="1"/>
  <c r="J29" i="1"/>
  <c r="L28" i="1"/>
  <c r="J28" i="1"/>
  <c r="L27" i="1"/>
  <c r="J27" i="1"/>
  <c r="L26" i="1"/>
  <c r="J26" i="1"/>
  <c r="L25" i="1"/>
  <c r="J25" i="1"/>
  <c r="L24" i="1"/>
  <c r="J24" i="1"/>
  <c r="L23" i="1"/>
  <c r="J23" i="1"/>
  <c r="L22" i="1"/>
  <c r="J22" i="1"/>
  <c r="L21" i="1"/>
  <c r="J21" i="1"/>
  <c r="L20" i="1"/>
  <c r="J20" i="1"/>
  <c r="L19" i="1"/>
  <c r="J19" i="1"/>
  <c r="L18" i="1"/>
  <c r="J18" i="1"/>
  <c r="L17" i="1"/>
  <c r="J17" i="1"/>
  <c r="L16" i="1"/>
  <c r="J16" i="1"/>
  <c r="L15" i="1"/>
  <c r="J15" i="1"/>
  <c r="L14" i="1"/>
  <c r="J14" i="1"/>
  <c r="L13" i="1"/>
  <c r="J13" i="1"/>
  <c r="L12" i="1"/>
  <c r="J12" i="1"/>
  <c r="L11" i="1"/>
  <c r="J11" i="1"/>
  <c r="L10" i="1"/>
  <c r="J10" i="1"/>
  <c r="J48" i="1" l="1"/>
  <c r="L48" i="1"/>
  <c r="U48" i="1"/>
  <c r="S48" i="1"/>
  <c r="R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48" i="1" l="1"/>
  <c r="T48" i="1"/>
  <c r="G47" i="1"/>
  <c r="E47" i="1"/>
  <c r="G46" i="1"/>
  <c r="E46" i="1"/>
  <c r="G45" i="1"/>
  <c r="E45" i="1"/>
  <c r="G44" i="1"/>
  <c r="E44" i="1"/>
  <c r="G43" i="1"/>
  <c r="E43" i="1"/>
  <c r="G42" i="1"/>
  <c r="E42" i="1"/>
  <c r="G41" i="1"/>
  <c r="E41" i="1"/>
  <c r="G40" i="1"/>
  <c r="E40" i="1"/>
  <c r="G39" i="1"/>
  <c r="E39" i="1"/>
  <c r="G38" i="1"/>
  <c r="E38" i="1"/>
  <c r="G37" i="1"/>
  <c r="E37" i="1"/>
  <c r="G36" i="1"/>
  <c r="E36" i="1"/>
  <c r="G35" i="1"/>
  <c r="E35" i="1"/>
  <c r="G33" i="1"/>
  <c r="E33" i="1"/>
  <c r="G32" i="1"/>
  <c r="E32" i="1"/>
  <c r="G31" i="1"/>
  <c r="E31" i="1"/>
  <c r="G30" i="1"/>
  <c r="E30" i="1"/>
  <c r="G29" i="1"/>
  <c r="E29" i="1"/>
  <c r="G28" i="1"/>
  <c r="E28" i="1"/>
  <c r="G27" i="1"/>
  <c r="E27" i="1"/>
  <c r="G26" i="1"/>
  <c r="E26" i="1"/>
  <c r="G25" i="1"/>
  <c r="E25" i="1"/>
  <c r="G24" i="1"/>
  <c r="E24" i="1"/>
  <c r="G23" i="1"/>
  <c r="E23" i="1"/>
  <c r="G22" i="1"/>
  <c r="E22" i="1"/>
  <c r="G21" i="1"/>
  <c r="E21" i="1"/>
  <c r="G20" i="1"/>
  <c r="E20" i="1"/>
  <c r="G19" i="1"/>
  <c r="E19" i="1"/>
  <c r="G18" i="1"/>
  <c r="E18" i="1"/>
  <c r="G17" i="1"/>
  <c r="E17" i="1"/>
  <c r="G16" i="1"/>
  <c r="E16" i="1"/>
  <c r="G15" i="1"/>
  <c r="E15" i="1"/>
  <c r="G14" i="1"/>
  <c r="E14" i="1"/>
  <c r="G13" i="1"/>
  <c r="E13" i="1"/>
  <c r="G12" i="1"/>
  <c r="E12" i="1"/>
  <c r="G11" i="1"/>
  <c r="E11" i="1"/>
  <c r="G10" i="1"/>
  <c r="E10" i="1"/>
  <c r="F48" i="1" l="1"/>
  <c r="D48" i="1"/>
  <c r="C48" i="1"/>
  <c r="G48" i="1" l="1"/>
  <c r="E48" i="1"/>
</calcChain>
</file>

<file path=xl/sharedStrings.xml><?xml version="1.0" encoding="utf-8"?>
<sst xmlns="http://schemas.openxmlformats.org/spreadsheetml/2006/main" count="129" uniqueCount="51">
  <si>
    <t>STATE CD</t>
  </si>
  <si>
    <t>STATE</t>
  </si>
  <si>
    <t>No. of Tax Payers eligible to File</t>
  </si>
  <si>
    <t>No. Tax Payers filed by Due Date</t>
  </si>
  <si>
    <t>No. of Tax Payers filed after due date</t>
  </si>
  <si>
    <t>Total Returns Filed</t>
  </si>
  <si>
    <t>Jammu and Kashmir</t>
  </si>
  <si>
    <t>Himachal Pradesh</t>
  </si>
  <si>
    <t>Punjab</t>
  </si>
  <si>
    <t>Chandigarh</t>
  </si>
  <si>
    <t>Uttarakhand</t>
  </si>
  <si>
    <t>Haryana</t>
  </si>
  <si>
    <t>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</si>
  <si>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</si>
  <si>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</si>
  <si>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</si>
  <si>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</si>
  <si>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</si>
  <si>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</si>
  <si>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</si>
  <si>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</si>
  <si>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</si>
  <si>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</si>
  <si>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</si>
  <si>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</si>
  <si>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</si>
  <si>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</si>
  <si>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</si>
  <si>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</si>
  <si>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</si>
  <si>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and Diu</t>
  </si>
  <si>
    <t>Dadra and Nagar Haveli</t>
  </si>
  <si>
    <t>Maharashtra</t>
  </si>
  <si>
    <t>Karnataka</t>
  </si>
  <si>
    <t>Goa</t>
  </si>
  <si>
    <t>Lakshadweep</t>
  </si>
  <si>
    <t>Kerala</t>
  </si>
  <si>
    <t>Tamil Nadu</t>
  </si>
  <si>
    <t>Puducherry</t>
  </si>
  <si>
    <t>Andaman and Nicobar Islands</t>
  </si>
  <si>
    <t>Telangana</t>
  </si>
  <si>
    <t>Andhra Pradesh</t>
  </si>
  <si>
    <t>Ladakh</t>
  </si>
  <si>
    <t>Other Territory</t>
  </si>
  <si>
    <t>Total</t>
  </si>
  <si>
    <t>*  State Code 97 represents  territories other than States/UTs</t>
  </si>
  <si>
    <t>STATE WISE RETURN PERIOD WISE GSTR-3B FILING SUMMARY</t>
  </si>
  <si>
    <t>-</t>
  </si>
  <si>
    <t>FINANCIAL YEAR 2023-2024</t>
  </si>
  <si>
    <t>Data Considered upto 31st Jan 2026</t>
  </si>
  <si>
    <t>Filing %age as on 31st Jan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</si>
</sst>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(* #,##0.00_);_(* \(#,##0.00\);_(* &quot;-&quot;??_);_(@_)"/>
    <numFmt numFmtId="165" formatCode="[&gt;=10000000]##\,##\,##\,##0;[&gt;=100000]\ ##\,##\,##0;##,##0"/>
    <numFmt numFmtId="166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29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/>
    <xf numFmtId="165" fontId="3" fillId="3" borderId="1" xfId="0" applyNumberFormat="1" applyFont="1" applyFill="1" applyBorder="1"/>
    <xf numFmtId="10" fontId="3" fillId="3" borderId="1" xfId="1" applyNumberFormat="1" applyFont="1" applyFill="1" applyBorder="1"/>
    <xf numFmtId="0" fontId="5" fillId="2" borderId="0" xfId="0" applyFont="1" applyFill="1" applyAlignment="1">
      <alignment horizontal="left"/>
    </xf>
    <xf numFmtId="165" fontId="0" fillId="0" borderId="1" xfId="0" applyNumberFormat="1" applyBorder="1"/>
    <xf numFmtId="165" fontId="0" fillId="0" borderId="1" xfId="0" applyNumberFormat="1" applyBorder="1" applyAlignment="1">
      <alignment horizontal="right" vertical="center" wrapText="1"/>
    </xf>
    <xf numFmtId="165" fontId="2" fillId="2" borderId="1" xfId="2" applyNumberFormat="1" applyFont="1" applyFill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right" vertical="center" wrapText="1"/>
    </xf>
    <xf numFmtId="165" fontId="6" fillId="5" borderId="1" xfId="0" applyNumberFormat="1" applyFont="1" applyFill="1" applyBorder="1" applyAlignment="1">
      <alignment horizontal="right" vertical="center" wrapText="1"/>
    </xf>
    <xf numFmtId="165" fontId="7" fillId="4" borderId="1" xfId="0" applyNumberFormat="1" applyFont="1" applyFill="1" applyBorder="1"/>
    <xf numFmtId="10" fontId="7" fillId="4" borderId="1" xfId="1" applyNumberFormat="1" applyFont="1" applyFill="1" applyBorder="1"/>
    <xf numFmtId="165" fontId="1" fillId="0" borderId="1" xfId="0" applyNumberFormat="1" applyFont="1" applyBorder="1"/>
    <xf numFmtId="166" fontId="0" fillId="0" borderId="1" xfId="10" applyNumberFormat="1" applyFont="1" applyBorder="1" applyAlignment="1">
      <alignment horizontal="right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" fontId="2" fillId="2" borderId="2" xfId="0" applyNumberFormat="1" applyFont="1" applyFill="1" applyBorder="1" applyAlignment="1">
      <alignment horizontal="center" vertical="center"/>
    </xf>
    <xf numFmtId="17" fontId="2" fillId="2" borderId="3" xfId="0" applyNumberFormat="1" applyFont="1" applyFill="1" applyBorder="1" applyAlignment="1">
      <alignment horizontal="center" vertical="center"/>
    </xf>
    <xf numFmtId="17" fontId="2" fillId="2" borderId="4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/>
    </xf>
    <xf numFmtId="0" fontId="5" fillId="4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</cellXfs>
  <cellStyles count="11">
    <cellStyle name="Comma" xfId="10" builtinId="3"/>
    <cellStyle name="Comma 2" xfId="2" xr:uid="{00000000-0005-0000-0000-000001000000}"/>
    <cellStyle name="Comma 2 2" xfId="8" xr:uid="{00000000-0005-0000-0000-000002000000}"/>
    <cellStyle name="Comma 2 3" xfId="5" xr:uid="{00000000-0005-0000-0000-000003000000}"/>
    <cellStyle name="Comma 3" xfId="7" xr:uid="{00000000-0005-0000-0000-000004000000}"/>
    <cellStyle name="Normal" xfId="0" builtinId="0"/>
    <cellStyle name="Normal 2" xfId="6" xr:uid="{00000000-0005-0000-0000-000006000000}"/>
    <cellStyle name="Normal 2 2" xfId="9" xr:uid="{00000000-0005-0000-0000-000007000000}"/>
    <cellStyle name="Normal 3" xfId="3" xr:uid="{00000000-0005-0000-0000-000008000000}"/>
    <cellStyle name="Percent" xfId="1" builtinId="5"/>
    <cellStyle name="Percent 2" xfId="4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J55"/>
  <sheetViews>
    <sheetView tabSelected="1" zoomScale="60" zoomScaleNormal="60" workbookViewId="0">
      <selection activeCell="A46" sqref="A46"/>
    </sheetView>
  </sheetViews>
  <sheetFormatPr defaultColWidth="8.77734375" defaultRowHeight="14.4" x14ac:dyDescent="0.3"/>
  <cols>
    <col min="2" max="2" width="26.21875" bestFit="1" customWidth="1"/>
    <col min="3" max="62" width="18.44140625" customWidth="1"/>
  </cols>
  <sheetData>
    <row r="1" spans="1:62" ht="15.6" x14ac:dyDescent="0.3">
      <c r="A1" s="28" t="s">
        <v>46</v>
      </c>
      <c r="B1" s="28"/>
      <c r="C1" s="28"/>
      <c r="D1" s="28"/>
    </row>
    <row r="2" spans="1:62" ht="15.6" x14ac:dyDescent="0.3">
      <c r="A2" s="2"/>
      <c r="B2" s="2"/>
      <c r="C2" s="2"/>
      <c r="D2" s="2"/>
      <c r="E2" s="2"/>
      <c r="F2" s="2"/>
      <c r="G2" s="2"/>
    </row>
    <row r="3" spans="1:62" ht="15.6" x14ac:dyDescent="0.3">
      <c r="A3" s="27" t="s">
        <v>48</v>
      </c>
      <c r="B3" s="27"/>
      <c r="C3" s="2"/>
      <c r="D3" s="2"/>
      <c r="E3" s="2"/>
      <c r="F3" s="2"/>
      <c r="G3" s="2"/>
    </row>
    <row r="4" spans="1:62" ht="15.6" x14ac:dyDescent="0.3">
      <c r="A4" s="2"/>
      <c r="B4" s="2"/>
      <c r="C4" s="2"/>
      <c r="D4" s="2"/>
      <c r="E4" s="2"/>
      <c r="F4" s="2"/>
      <c r="G4" s="2"/>
    </row>
    <row r="5" spans="1:62" ht="15.6" x14ac:dyDescent="0.3">
      <c r="A5" s="27" t="s">
        <v>49</v>
      </c>
      <c r="B5" s="27"/>
      <c r="C5" s="27"/>
      <c r="D5" s="1"/>
      <c r="E5" s="1"/>
      <c r="F5" s="1"/>
      <c r="G5" s="1"/>
    </row>
    <row r="6" spans="1:62" x14ac:dyDescent="0.3">
      <c r="A6" s="1"/>
      <c r="B6" s="1"/>
      <c r="C6" s="1"/>
      <c r="D6" s="1"/>
      <c r="E6" s="1"/>
      <c r="F6" s="1"/>
      <c r="G6" s="1"/>
    </row>
    <row r="7" spans="1:62" x14ac:dyDescent="0.3">
      <c r="A7" s="1"/>
      <c r="B7" s="1"/>
      <c r="C7" s="1"/>
      <c r="D7" s="1"/>
      <c r="E7" s="1"/>
      <c r="F7" s="1"/>
      <c r="G7" s="1"/>
    </row>
    <row r="8" spans="1:62" s="16" customFormat="1" ht="15.6" x14ac:dyDescent="0.3">
      <c r="A8" s="25" t="s">
        <v>0</v>
      </c>
      <c r="B8" s="26" t="s">
        <v>1</v>
      </c>
      <c r="C8" s="20">
        <v>45017</v>
      </c>
      <c r="D8" s="21"/>
      <c r="E8" s="21"/>
      <c r="F8" s="21"/>
      <c r="G8" s="22"/>
      <c r="H8" s="20">
        <v>45047</v>
      </c>
      <c r="I8" s="21"/>
      <c r="J8" s="21"/>
      <c r="K8" s="21"/>
      <c r="L8" s="22"/>
      <c r="M8" s="20">
        <v>45078</v>
      </c>
      <c r="N8" s="21"/>
      <c r="O8" s="21"/>
      <c r="P8" s="21"/>
      <c r="Q8" s="22"/>
      <c r="R8" s="20">
        <v>45108</v>
      </c>
      <c r="S8" s="21"/>
      <c r="T8" s="21"/>
      <c r="U8" s="21"/>
      <c r="V8" s="22"/>
      <c r="W8" s="20">
        <v>45139</v>
      </c>
      <c r="X8" s="21"/>
      <c r="Y8" s="21"/>
      <c r="Z8" s="21"/>
      <c r="AA8" s="22"/>
      <c r="AB8" s="20">
        <v>45170</v>
      </c>
      <c r="AC8" s="21"/>
      <c r="AD8" s="21"/>
      <c r="AE8" s="21"/>
      <c r="AF8" s="22"/>
      <c r="AG8" s="20">
        <v>45200</v>
      </c>
      <c r="AH8" s="21"/>
      <c r="AI8" s="21"/>
      <c r="AJ8" s="21"/>
      <c r="AK8" s="22"/>
      <c r="AL8" s="20">
        <v>45231</v>
      </c>
      <c r="AM8" s="21"/>
      <c r="AN8" s="21"/>
      <c r="AO8" s="21"/>
      <c r="AP8" s="22"/>
      <c r="AQ8" s="20">
        <v>45261</v>
      </c>
      <c r="AR8" s="21"/>
      <c r="AS8" s="21"/>
      <c r="AT8" s="21"/>
      <c r="AU8" s="22"/>
      <c r="AV8" s="20">
        <v>45292</v>
      </c>
      <c r="AW8" s="21"/>
      <c r="AX8" s="21"/>
      <c r="AY8" s="21"/>
      <c r="AZ8" s="22"/>
      <c r="BA8" s="20">
        <v>45323</v>
      </c>
      <c r="BB8" s="21"/>
      <c r="BC8" s="21"/>
      <c r="BD8" s="21"/>
      <c r="BE8" s="22"/>
      <c r="BF8" s="20">
        <v>45352</v>
      </c>
      <c r="BG8" s="21"/>
      <c r="BH8" s="21"/>
      <c r="BI8" s="21"/>
      <c r="BJ8" s="22"/>
    </row>
    <row r="9" spans="1:62" s="16" customFormat="1" ht="31.2" customHeight="1" x14ac:dyDescent="0.3">
      <c r="A9" s="25"/>
      <c r="B9" s="26"/>
      <c r="C9" s="17" t="s">
        <v>2</v>
      </c>
      <c r="D9" s="17" t="s">
        <v>3</v>
      </c>
      <c r="E9" s="17" t="s">
        <v>4</v>
      </c>
      <c r="F9" s="9" t="s">
        <v>5</v>
      </c>
      <c r="G9" s="17" t="s">
        <v>50</v>
      </c>
      <c r="H9" s="17" t="s">
        <v>2</v>
      </c>
      <c r="I9" s="17" t="s">
        <v>3</v>
      </c>
      <c r="J9" s="17" t="s">
        <v>4</v>
      </c>
      <c r="K9" s="9" t="s">
        <v>5</v>
      </c>
      <c r="L9" s="17" t="s">
        <v>50</v>
      </c>
      <c r="M9" s="17" t="s">
        <v>2</v>
      </c>
      <c r="N9" s="17" t="s">
        <v>3</v>
      </c>
      <c r="O9" s="17" t="s">
        <v>4</v>
      </c>
      <c r="P9" s="9" t="s">
        <v>5</v>
      </c>
      <c r="Q9" s="17" t="s">
        <v>50</v>
      </c>
      <c r="R9" s="17" t="s">
        <v>2</v>
      </c>
      <c r="S9" s="17" t="s">
        <v>3</v>
      </c>
      <c r="T9" s="17" t="s">
        <v>4</v>
      </c>
      <c r="U9" s="9" t="s">
        <v>5</v>
      </c>
      <c r="V9" s="17" t="s">
        <v>50</v>
      </c>
      <c r="W9" s="17" t="s">
        <v>2</v>
      </c>
      <c r="X9" s="17" t="s">
        <v>3</v>
      </c>
      <c r="Y9" s="17" t="s">
        <v>4</v>
      </c>
      <c r="Z9" s="9" t="s">
        <v>5</v>
      </c>
      <c r="AA9" s="17" t="s">
        <v>50</v>
      </c>
      <c r="AB9" s="17" t="s">
        <v>2</v>
      </c>
      <c r="AC9" s="17" t="s">
        <v>3</v>
      </c>
      <c r="AD9" s="17" t="s">
        <v>4</v>
      </c>
      <c r="AE9" s="9" t="s">
        <v>5</v>
      </c>
      <c r="AF9" s="17" t="s">
        <v>50</v>
      </c>
      <c r="AG9" s="17" t="s">
        <v>2</v>
      </c>
      <c r="AH9" s="17" t="s">
        <v>3</v>
      </c>
      <c r="AI9" s="17" t="s">
        <v>4</v>
      </c>
      <c r="AJ9" s="9" t="s">
        <v>5</v>
      </c>
      <c r="AK9" s="17" t="s">
        <v>50</v>
      </c>
      <c r="AL9" s="17" t="s">
        <v>2</v>
      </c>
      <c r="AM9" s="17" t="s">
        <v>3</v>
      </c>
      <c r="AN9" s="17" t="s">
        <v>4</v>
      </c>
      <c r="AO9" s="9" t="s">
        <v>5</v>
      </c>
      <c r="AP9" s="17" t="s">
        <v>50</v>
      </c>
      <c r="AQ9" s="17" t="s">
        <v>2</v>
      </c>
      <c r="AR9" s="17" t="s">
        <v>3</v>
      </c>
      <c r="AS9" s="17" t="s">
        <v>4</v>
      </c>
      <c r="AT9" s="9" t="s">
        <v>5</v>
      </c>
      <c r="AU9" s="17" t="s">
        <v>50</v>
      </c>
      <c r="AV9" s="17" t="s">
        <v>2</v>
      </c>
      <c r="AW9" s="17" t="s">
        <v>3</v>
      </c>
      <c r="AX9" s="17" t="s">
        <v>4</v>
      </c>
      <c r="AY9" s="9" t="s">
        <v>5</v>
      </c>
      <c r="AZ9" s="17" t="s">
        <v>50</v>
      </c>
      <c r="BA9" s="17" t="s">
        <v>2</v>
      </c>
      <c r="BB9" s="17" t="s">
        <v>3</v>
      </c>
      <c r="BC9" s="17" t="s">
        <v>4</v>
      </c>
      <c r="BD9" s="9" t="s">
        <v>5</v>
      </c>
      <c r="BE9" s="17" t="s">
        <v>50</v>
      </c>
      <c r="BF9" s="17" t="s">
        <v>2</v>
      </c>
      <c r="BG9" s="17" t="s">
        <v>3</v>
      </c>
      <c r="BH9" s="17" t="s">
        <v>4</v>
      </c>
      <c r="BI9" s="9" t="s">
        <v>5</v>
      </c>
      <c r="BJ9" s="17" t="s">
        <v>50</v>
      </c>
    </row>
    <row r="10" spans="1:62" x14ac:dyDescent="0.3">
      <c r="A10" s="18">
        <v>1</v>
      </c>
      <c r="B10" s="3" t="s">
        <v>6</v>
      </c>
      <c r="C10" s="8">
        <v>70249</v>
      </c>
      <c r="D10" s="7">
        <v>55211</v>
      </c>
      <c r="E10" s="4">
        <f>F10-D10</f>
        <v>15392</v>
      </c>
      <c r="F10" s="14">
        <v>70603</v>
      </c>
      <c r="G10" s="5">
        <f>F10/C10</f>
        <v>1.0050392176401088</v>
      </c>
      <c r="H10" s="8">
        <v>72254</v>
      </c>
      <c r="I10" s="7">
        <v>57600</v>
      </c>
      <c r="J10" s="4">
        <f>K10-I10</f>
        <v>14608</v>
      </c>
      <c r="K10" s="14">
        <v>72208</v>
      </c>
      <c r="L10" s="5">
        <f>K10/H10</f>
        <v>0.99936335704597667</v>
      </c>
      <c r="M10" s="8">
        <v>120466</v>
      </c>
      <c r="N10" s="7">
        <v>96353</v>
      </c>
      <c r="O10" s="4">
        <f>P10-N10</f>
        <v>23838</v>
      </c>
      <c r="P10" s="14">
        <v>120191</v>
      </c>
      <c r="Q10" s="5">
        <f>P10/M10</f>
        <v>0.99771719821360383</v>
      </c>
      <c r="R10" s="8">
        <v>70979</v>
      </c>
      <c r="S10" s="7">
        <v>55987</v>
      </c>
      <c r="T10" s="4">
        <f>U10-S10</f>
        <v>15284</v>
      </c>
      <c r="U10" s="14">
        <v>71271</v>
      </c>
      <c r="V10" s="5">
        <f>U10/R10</f>
        <v>1.0041138928415447</v>
      </c>
      <c r="W10" s="8">
        <v>73348</v>
      </c>
      <c r="X10" s="7">
        <v>58028</v>
      </c>
      <c r="Y10" s="4">
        <f>Z10-X10</f>
        <v>14953</v>
      </c>
      <c r="Z10" s="14">
        <v>72981</v>
      </c>
      <c r="AA10" s="5">
        <f>Z10/W10</f>
        <v>0.99499645525440361</v>
      </c>
      <c r="AB10" s="8">
        <v>123554</v>
      </c>
      <c r="AC10" s="7">
        <v>98004</v>
      </c>
      <c r="AD10" s="4">
        <f>AE10-AC10</f>
        <v>25331</v>
      </c>
      <c r="AE10" s="14">
        <v>123335</v>
      </c>
      <c r="AF10" s="5">
        <f>AE10/AB10</f>
        <v>0.99822749566990954</v>
      </c>
      <c r="AG10" s="8">
        <v>71950</v>
      </c>
      <c r="AH10" s="7">
        <v>56948</v>
      </c>
      <c r="AI10" s="4">
        <f>AJ10-AH10</f>
        <v>15057</v>
      </c>
      <c r="AJ10" s="14">
        <v>72005</v>
      </c>
      <c r="AK10" s="5">
        <f>AJ10/AG10</f>
        <v>1.0007644197359278</v>
      </c>
      <c r="AL10" s="8">
        <v>73532</v>
      </c>
      <c r="AM10" s="7">
        <v>58535</v>
      </c>
      <c r="AN10" s="4">
        <f>AO10-AM10</f>
        <v>14443</v>
      </c>
      <c r="AO10" s="14">
        <v>72978</v>
      </c>
      <c r="AP10" s="5">
        <f>AO10/AL10</f>
        <v>0.99246586520154489</v>
      </c>
      <c r="AQ10" s="8">
        <v>125499</v>
      </c>
      <c r="AR10" s="7">
        <v>103639</v>
      </c>
      <c r="AS10" s="4">
        <f>AT10-AR10</f>
        <v>22087</v>
      </c>
      <c r="AT10" s="14">
        <v>125726</v>
      </c>
      <c r="AU10" s="5">
        <f>AT10/AQ10</f>
        <v>1.0018087793528234</v>
      </c>
      <c r="AV10" s="8">
        <v>72481</v>
      </c>
      <c r="AW10" s="7">
        <v>58372</v>
      </c>
      <c r="AX10" s="4">
        <f>AY10-AW10</f>
        <v>13995</v>
      </c>
      <c r="AY10" s="14">
        <v>72367</v>
      </c>
      <c r="AZ10" s="5">
        <f>AY10/AV10</f>
        <v>0.9984271740180185</v>
      </c>
      <c r="BA10" s="8">
        <v>73790</v>
      </c>
      <c r="BB10" s="7">
        <v>60154</v>
      </c>
      <c r="BC10" s="4">
        <f>BD10-BB10</f>
        <v>13133</v>
      </c>
      <c r="BD10" s="14">
        <v>73287</v>
      </c>
      <c r="BE10" s="5">
        <f>BD10/BA10</f>
        <v>0.99318335817861503</v>
      </c>
      <c r="BF10" s="8">
        <v>128129</v>
      </c>
      <c r="BG10" s="7">
        <v>97200</v>
      </c>
      <c r="BH10" s="4">
        <f>BI10-BG10</f>
        <v>30669</v>
      </c>
      <c r="BI10" s="14">
        <v>127869</v>
      </c>
      <c r="BJ10" s="5">
        <f>BI10/BF10</f>
        <v>0.99797079505810549</v>
      </c>
    </row>
    <row r="11" spans="1:62" x14ac:dyDescent="0.3">
      <c r="A11" s="18">
        <v>2</v>
      </c>
      <c r="B11" s="3" t="s">
        <v>7</v>
      </c>
      <c r="C11" s="8">
        <v>44514</v>
      </c>
      <c r="D11" s="7">
        <v>36718</v>
      </c>
      <c r="E11" s="4">
        <f t="shared" ref="E11:E47" si="0">F11-D11</f>
        <v>8350</v>
      </c>
      <c r="F11" s="14">
        <v>45068</v>
      </c>
      <c r="G11" s="5">
        <f t="shared" ref="G11:G33" si="1">F11/C11</f>
        <v>1.0124455227568854</v>
      </c>
      <c r="H11" s="8">
        <v>46110</v>
      </c>
      <c r="I11" s="7">
        <v>37682</v>
      </c>
      <c r="J11" s="4">
        <f t="shared" ref="J11:J33" si="2">K11-I11</f>
        <v>8435</v>
      </c>
      <c r="K11" s="14">
        <v>46117</v>
      </c>
      <c r="L11" s="5">
        <f t="shared" ref="L11:L33" si="3">K11/H11</f>
        <v>1.0001518108870093</v>
      </c>
      <c r="M11" s="8">
        <v>102242</v>
      </c>
      <c r="N11" s="7">
        <v>84466</v>
      </c>
      <c r="O11" s="4">
        <f t="shared" ref="O11:O33" si="4">P11-N11</f>
        <v>17887</v>
      </c>
      <c r="P11" s="14">
        <v>102353</v>
      </c>
      <c r="Q11" s="5">
        <f t="shared" ref="Q11:Q33" si="5">P11/M11</f>
        <v>1.0010856595137028</v>
      </c>
      <c r="R11" s="8">
        <v>44890</v>
      </c>
      <c r="S11" s="7">
        <v>36437</v>
      </c>
      <c r="T11" s="4">
        <f t="shared" ref="T11:T33" si="6">U11-S11</f>
        <v>8651</v>
      </c>
      <c r="U11" s="14">
        <v>45088</v>
      </c>
      <c r="V11" s="5">
        <f t="shared" ref="V11:V33" si="7">U11/R11</f>
        <v>1.0044107819113388</v>
      </c>
      <c r="W11" s="8">
        <v>46425</v>
      </c>
      <c r="X11" s="7">
        <v>37204</v>
      </c>
      <c r="Y11" s="4">
        <f t="shared" ref="Y11:Y33" si="8">Z11-X11</f>
        <v>8806</v>
      </c>
      <c r="Z11" s="14">
        <v>46010</v>
      </c>
      <c r="AA11" s="5">
        <f t="shared" ref="AA11:AA33" si="9">Z11/W11</f>
        <v>0.99106085083467954</v>
      </c>
      <c r="AB11" s="8">
        <v>103964</v>
      </c>
      <c r="AC11" s="7">
        <v>86885</v>
      </c>
      <c r="AD11" s="4">
        <f t="shared" ref="AD11:AD33" si="10">AE11-AC11</f>
        <v>17229</v>
      </c>
      <c r="AE11" s="14">
        <v>104114</v>
      </c>
      <c r="AF11" s="5">
        <f t="shared" ref="AF11:AF33" si="11">AE11/AB11</f>
        <v>1.0014428071255435</v>
      </c>
      <c r="AG11" s="8">
        <v>45569</v>
      </c>
      <c r="AH11" s="7">
        <v>36989</v>
      </c>
      <c r="AI11" s="4">
        <f t="shared" ref="AI11:AI33" si="12">AJ11-AH11</f>
        <v>8669</v>
      </c>
      <c r="AJ11" s="14">
        <v>45658</v>
      </c>
      <c r="AK11" s="5">
        <f t="shared" ref="AK11:AK33" si="13">AJ11/AG11</f>
        <v>1.0019530821391736</v>
      </c>
      <c r="AL11" s="8">
        <v>46951</v>
      </c>
      <c r="AM11" s="7">
        <v>38585</v>
      </c>
      <c r="AN11" s="4">
        <f t="shared" ref="AN11:AN33" si="14">AO11-AM11</f>
        <v>7767</v>
      </c>
      <c r="AO11" s="14">
        <v>46352</v>
      </c>
      <c r="AP11" s="5">
        <f t="shared" ref="AP11:AP33" si="15">AO11/AL11</f>
        <v>0.98724201827437119</v>
      </c>
      <c r="AQ11" s="8">
        <v>105644</v>
      </c>
      <c r="AR11" s="7">
        <v>90714</v>
      </c>
      <c r="AS11" s="4">
        <f t="shared" ref="AS11:AS33" si="16">AT11-AR11</f>
        <v>15108</v>
      </c>
      <c r="AT11" s="14">
        <v>105822</v>
      </c>
      <c r="AU11" s="5">
        <f t="shared" ref="AU11:AU33" si="17">AT11/AQ11</f>
        <v>1.0016849040172655</v>
      </c>
      <c r="AV11" s="8">
        <v>46072</v>
      </c>
      <c r="AW11" s="7">
        <v>38650</v>
      </c>
      <c r="AX11" s="4">
        <f t="shared" ref="AX11:AX33" si="18">AY11-AW11</f>
        <v>7535</v>
      </c>
      <c r="AY11" s="14">
        <v>46185</v>
      </c>
      <c r="AZ11" s="5">
        <f t="shared" ref="AZ11:AZ33" si="19">AY11/AV11</f>
        <v>1.0024526827574232</v>
      </c>
      <c r="BA11" s="8">
        <v>47252</v>
      </c>
      <c r="BB11" s="7">
        <v>39815</v>
      </c>
      <c r="BC11" s="4">
        <f t="shared" ref="BC11:BC33" si="20">BD11-BB11</f>
        <v>7171</v>
      </c>
      <c r="BD11" s="14">
        <v>46986</v>
      </c>
      <c r="BE11" s="5">
        <f t="shared" ref="BE11:BE33" si="21">BD11/BA11</f>
        <v>0.99437060865148563</v>
      </c>
      <c r="BF11" s="8">
        <v>107665</v>
      </c>
      <c r="BG11" s="7">
        <v>87890</v>
      </c>
      <c r="BH11" s="4">
        <f t="shared" ref="BH11:BH33" si="22">BI11-BG11</f>
        <v>19592</v>
      </c>
      <c r="BI11" s="14">
        <v>107482</v>
      </c>
      <c r="BJ11" s="5">
        <f t="shared" ref="BJ11:BJ33" si="23">BI11/BF11</f>
        <v>0.99830028328611897</v>
      </c>
    </row>
    <row r="12" spans="1:62" x14ac:dyDescent="0.3">
      <c r="A12" s="18">
        <v>3</v>
      </c>
      <c r="B12" s="3" t="s">
        <v>8</v>
      </c>
      <c r="C12" s="8">
        <v>165970</v>
      </c>
      <c r="D12" s="7">
        <v>141211</v>
      </c>
      <c r="E12" s="4">
        <f t="shared" si="0"/>
        <v>24302</v>
      </c>
      <c r="F12" s="14">
        <v>165513</v>
      </c>
      <c r="G12" s="5">
        <f t="shared" si="1"/>
        <v>0.99724649032957768</v>
      </c>
      <c r="H12" s="8">
        <v>170538</v>
      </c>
      <c r="I12" s="7">
        <v>143825</v>
      </c>
      <c r="J12" s="4">
        <f t="shared" si="2"/>
        <v>24739</v>
      </c>
      <c r="K12" s="14">
        <v>168564</v>
      </c>
      <c r="L12" s="5">
        <f t="shared" si="3"/>
        <v>0.9884248671850262</v>
      </c>
      <c r="M12" s="8">
        <v>344875</v>
      </c>
      <c r="N12" s="7">
        <v>289002</v>
      </c>
      <c r="O12" s="4">
        <f t="shared" si="4"/>
        <v>54181</v>
      </c>
      <c r="P12" s="14">
        <v>343183</v>
      </c>
      <c r="Q12" s="5">
        <f t="shared" si="5"/>
        <v>0.99509387459224352</v>
      </c>
      <c r="R12" s="8">
        <v>167705</v>
      </c>
      <c r="S12" s="7">
        <v>140142</v>
      </c>
      <c r="T12" s="4">
        <f t="shared" si="6"/>
        <v>26997</v>
      </c>
      <c r="U12" s="14">
        <v>167139</v>
      </c>
      <c r="V12" s="5">
        <f t="shared" si="7"/>
        <v>0.99662502608747505</v>
      </c>
      <c r="W12" s="8">
        <v>171864</v>
      </c>
      <c r="X12" s="7">
        <v>142458</v>
      </c>
      <c r="Y12" s="4">
        <f t="shared" si="8"/>
        <v>27597</v>
      </c>
      <c r="Z12" s="14">
        <v>170055</v>
      </c>
      <c r="AA12" s="5">
        <f t="shared" si="9"/>
        <v>0.98947423544197732</v>
      </c>
      <c r="AB12" s="8">
        <v>349048</v>
      </c>
      <c r="AC12" s="7">
        <v>289469</v>
      </c>
      <c r="AD12" s="4">
        <f t="shared" si="10"/>
        <v>58525</v>
      </c>
      <c r="AE12" s="14">
        <v>347994</v>
      </c>
      <c r="AF12" s="5">
        <f t="shared" si="11"/>
        <v>0.99698035800233775</v>
      </c>
      <c r="AG12" s="8">
        <v>170526</v>
      </c>
      <c r="AH12" s="7">
        <v>142444</v>
      </c>
      <c r="AI12" s="4">
        <f t="shared" si="12"/>
        <v>27722</v>
      </c>
      <c r="AJ12" s="14">
        <v>170166</v>
      </c>
      <c r="AK12" s="5">
        <f t="shared" si="13"/>
        <v>0.99788888497941663</v>
      </c>
      <c r="AL12" s="8">
        <v>174892</v>
      </c>
      <c r="AM12" s="7">
        <v>147326</v>
      </c>
      <c r="AN12" s="4">
        <f t="shared" si="14"/>
        <v>25056</v>
      </c>
      <c r="AO12" s="14">
        <v>172382</v>
      </c>
      <c r="AP12" s="5">
        <f t="shared" si="15"/>
        <v>0.98564828579923613</v>
      </c>
      <c r="AQ12" s="8">
        <v>353589</v>
      </c>
      <c r="AR12" s="7">
        <v>301910</v>
      </c>
      <c r="AS12" s="4">
        <f t="shared" si="16"/>
        <v>50841</v>
      </c>
      <c r="AT12" s="14">
        <v>352751</v>
      </c>
      <c r="AU12" s="5">
        <f t="shared" si="17"/>
        <v>0.9976300167708837</v>
      </c>
      <c r="AV12" s="8">
        <v>172980</v>
      </c>
      <c r="AW12" s="7">
        <v>147717</v>
      </c>
      <c r="AX12" s="4">
        <f t="shared" si="18"/>
        <v>24602</v>
      </c>
      <c r="AY12" s="14">
        <v>172319</v>
      </c>
      <c r="AZ12" s="5">
        <f t="shared" si="19"/>
        <v>0.99617874898832237</v>
      </c>
      <c r="BA12" s="8">
        <v>177212</v>
      </c>
      <c r="BB12" s="7">
        <v>150751</v>
      </c>
      <c r="BC12" s="4">
        <f t="shared" si="20"/>
        <v>24008</v>
      </c>
      <c r="BD12" s="14">
        <v>174759</v>
      </c>
      <c r="BE12" s="5">
        <f t="shared" si="21"/>
        <v>0.98615782226937232</v>
      </c>
      <c r="BF12" s="8">
        <v>359260</v>
      </c>
      <c r="BG12" s="7">
        <v>291706</v>
      </c>
      <c r="BH12" s="4">
        <f t="shared" si="22"/>
        <v>65630</v>
      </c>
      <c r="BI12" s="14">
        <v>357336</v>
      </c>
      <c r="BJ12" s="5">
        <f t="shared" si="23"/>
        <v>0.99464454712464512</v>
      </c>
    </row>
    <row r="13" spans="1:62" x14ac:dyDescent="0.3">
      <c r="A13" s="18">
        <v>4</v>
      </c>
      <c r="B13" s="3" t="s">
        <v>9</v>
      </c>
      <c r="C13" s="8">
        <v>16508</v>
      </c>
      <c r="D13" s="7">
        <v>14192</v>
      </c>
      <c r="E13" s="4">
        <f t="shared" si="0"/>
        <v>2406</v>
      </c>
      <c r="F13" s="14">
        <v>16598</v>
      </c>
      <c r="G13" s="5">
        <f t="shared" si="1"/>
        <v>1.0054519021080688</v>
      </c>
      <c r="H13" s="8">
        <v>16836</v>
      </c>
      <c r="I13" s="7">
        <v>14405</v>
      </c>
      <c r="J13" s="4">
        <f t="shared" si="2"/>
        <v>2388</v>
      </c>
      <c r="K13" s="14">
        <v>16793</v>
      </c>
      <c r="L13" s="5">
        <f t="shared" si="3"/>
        <v>0.99744594915656926</v>
      </c>
      <c r="M13" s="8">
        <v>27790</v>
      </c>
      <c r="N13" s="7">
        <v>23287</v>
      </c>
      <c r="O13" s="4">
        <f t="shared" si="4"/>
        <v>4527</v>
      </c>
      <c r="P13" s="14">
        <v>27814</v>
      </c>
      <c r="Q13" s="5">
        <f t="shared" si="5"/>
        <v>1.0008636200071968</v>
      </c>
      <c r="R13" s="8">
        <v>16731</v>
      </c>
      <c r="S13" s="7">
        <v>14066</v>
      </c>
      <c r="T13" s="4">
        <f t="shared" si="6"/>
        <v>2682</v>
      </c>
      <c r="U13" s="14">
        <v>16748</v>
      </c>
      <c r="V13" s="5">
        <f t="shared" si="7"/>
        <v>1.0010160779391548</v>
      </c>
      <c r="W13" s="8">
        <v>16980</v>
      </c>
      <c r="X13" s="7">
        <v>14392</v>
      </c>
      <c r="Y13" s="4">
        <f t="shared" si="8"/>
        <v>2583</v>
      </c>
      <c r="Z13" s="14">
        <v>16975</v>
      </c>
      <c r="AA13" s="5">
        <f t="shared" si="9"/>
        <v>0.99970553592461719</v>
      </c>
      <c r="AB13" s="8">
        <v>28086</v>
      </c>
      <c r="AC13" s="7">
        <v>23262</v>
      </c>
      <c r="AD13" s="4">
        <f t="shared" si="10"/>
        <v>4831</v>
      </c>
      <c r="AE13" s="14">
        <v>28093</v>
      </c>
      <c r="AF13" s="5">
        <f t="shared" si="11"/>
        <v>1.0002492344940539</v>
      </c>
      <c r="AG13" s="8">
        <v>17018</v>
      </c>
      <c r="AH13" s="7">
        <v>14472</v>
      </c>
      <c r="AI13" s="4">
        <f t="shared" si="12"/>
        <v>2732</v>
      </c>
      <c r="AJ13" s="14">
        <v>17204</v>
      </c>
      <c r="AK13" s="5">
        <f t="shared" si="13"/>
        <v>1.0109296039487601</v>
      </c>
      <c r="AL13" s="8">
        <v>17260</v>
      </c>
      <c r="AM13" s="7">
        <v>14856</v>
      </c>
      <c r="AN13" s="4">
        <f t="shared" si="14"/>
        <v>2429</v>
      </c>
      <c r="AO13" s="14">
        <v>17285</v>
      </c>
      <c r="AP13" s="5">
        <f t="shared" si="15"/>
        <v>1.0014484356894553</v>
      </c>
      <c r="AQ13" s="8">
        <v>28368</v>
      </c>
      <c r="AR13" s="7">
        <v>24427</v>
      </c>
      <c r="AS13" s="4">
        <f t="shared" si="16"/>
        <v>4018</v>
      </c>
      <c r="AT13" s="14">
        <v>28445</v>
      </c>
      <c r="AU13" s="5">
        <f t="shared" si="17"/>
        <v>1.002714326001128</v>
      </c>
      <c r="AV13" s="8">
        <v>17209</v>
      </c>
      <c r="AW13" s="7">
        <v>14995</v>
      </c>
      <c r="AX13" s="4">
        <f t="shared" si="18"/>
        <v>2316</v>
      </c>
      <c r="AY13" s="14">
        <v>17311</v>
      </c>
      <c r="AZ13" s="5">
        <f t="shared" si="19"/>
        <v>1.0059271311523039</v>
      </c>
      <c r="BA13" s="8">
        <v>17487</v>
      </c>
      <c r="BB13" s="7">
        <v>15092</v>
      </c>
      <c r="BC13" s="4">
        <f t="shared" si="20"/>
        <v>2343</v>
      </c>
      <c r="BD13" s="14">
        <v>17435</v>
      </c>
      <c r="BE13" s="5">
        <f t="shared" si="21"/>
        <v>0.99702636244067022</v>
      </c>
      <c r="BF13" s="8">
        <v>28574</v>
      </c>
      <c r="BG13" s="7">
        <v>23743</v>
      </c>
      <c r="BH13" s="4">
        <f t="shared" si="22"/>
        <v>4902</v>
      </c>
      <c r="BI13" s="14">
        <v>28645</v>
      </c>
      <c r="BJ13" s="5">
        <f t="shared" si="23"/>
        <v>1.0024847763701268</v>
      </c>
    </row>
    <row r="14" spans="1:62" x14ac:dyDescent="0.3">
      <c r="A14" s="18">
        <v>5</v>
      </c>
      <c r="B14" s="3" t="s">
        <v>10</v>
      </c>
      <c r="C14" s="8">
        <v>85383</v>
      </c>
      <c r="D14" s="7">
        <v>67159</v>
      </c>
      <c r="E14" s="4">
        <f t="shared" si="0"/>
        <v>18143</v>
      </c>
      <c r="F14" s="14">
        <v>85302</v>
      </c>
      <c r="G14" s="5">
        <f t="shared" si="1"/>
        <v>0.99905133340360497</v>
      </c>
      <c r="H14" s="8">
        <v>88261</v>
      </c>
      <c r="I14" s="7">
        <v>68869</v>
      </c>
      <c r="J14" s="4">
        <f t="shared" si="2"/>
        <v>18255</v>
      </c>
      <c r="K14" s="14">
        <v>87124</v>
      </c>
      <c r="L14" s="5">
        <f t="shared" si="3"/>
        <v>0.98711775302795124</v>
      </c>
      <c r="M14" s="8">
        <v>157146</v>
      </c>
      <c r="N14" s="7">
        <v>123401</v>
      </c>
      <c r="O14" s="4">
        <f t="shared" si="4"/>
        <v>32072</v>
      </c>
      <c r="P14" s="14">
        <v>155473</v>
      </c>
      <c r="Q14" s="5">
        <f t="shared" si="5"/>
        <v>0.9893538492866506</v>
      </c>
      <c r="R14" s="8">
        <v>86469</v>
      </c>
      <c r="S14" s="7">
        <v>67065</v>
      </c>
      <c r="T14" s="4">
        <f t="shared" si="6"/>
        <v>18325</v>
      </c>
      <c r="U14" s="14">
        <v>85390</v>
      </c>
      <c r="V14" s="5">
        <f t="shared" si="7"/>
        <v>0.98752153951126997</v>
      </c>
      <c r="W14" s="8">
        <v>88169</v>
      </c>
      <c r="X14" s="7">
        <v>68708</v>
      </c>
      <c r="Y14" s="4">
        <f t="shared" si="8"/>
        <v>17834</v>
      </c>
      <c r="Z14" s="14">
        <v>86542</v>
      </c>
      <c r="AA14" s="5">
        <f t="shared" si="9"/>
        <v>0.9815468021640259</v>
      </c>
      <c r="AB14" s="8">
        <v>157930</v>
      </c>
      <c r="AC14" s="7">
        <v>123425</v>
      </c>
      <c r="AD14" s="4">
        <f t="shared" si="10"/>
        <v>33701</v>
      </c>
      <c r="AE14" s="14">
        <v>157126</v>
      </c>
      <c r="AF14" s="5">
        <f t="shared" si="11"/>
        <v>0.99490913695941241</v>
      </c>
      <c r="AG14" s="8">
        <v>87312</v>
      </c>
      <c r="AH14" s="7">
        <v>67332</v>
      </c>
      <c r="AI14" s="4">
        <f t="shared" si="12"/>
        <v>19565</v>
      </c>
      <c r="AJ14" s="14">
        <v>86897</v>
      </c>
      <c r="AK14" s="5">
        <f t="shared" si="13"/>
        <v>0.99524693054792013</v>
      </c>
      <c r="AL14" s="8">
        <v>89337</v>
      </c>
      <c r="AM14" s="7">
        <v>70940</v>
      </c>
      <c r="AN14" s="4">
        <f t="shared" si="14"/>
        <v>16958</v>
      </c>
      <c r="AO14" s="14">
        <v>87898</v>
      </c>
      <c r="AP14" s="5">
        <f t="shared" si="15"/>
        <v>0.98389245217547039</v>
      </c>
      <c r="AQ14" s="8">
        <v>160173</v>
      </c>
      <c r="AR14" s="7">
        <v>130441</v>
      </c>
      <c r="AS14" s="4">
        <f t="shared" si="16"/>
        <v>29789</v>
      </c>
      <c r="AT14" s="14">
        <v>160230</v>
      </c>
      <c r="AU14" s="5">
        <f t="shared" si="17"/>
        <v>1.0003558652207301</v>
      </c>
      <c r="AV14" s="8">
        <v>88523</v>
      </c>
      <c r="AW14" s="7">
        <v>71360</v>
      </c>
      <c r="AX14" s="4">
        <f t="shared" si="18"/>
        <v>17191</v>
      </c>
      <c r="AY14" s="14">
        <v>88551</v>
      </c>
      <c r="AZ14" s="5">
        <f t="shared" si="19"/>
        <v>1.000316301978017</v>
      </c>
      <c r="BA14" s="8">
        <v>90782</v>
      </c>
      <c r="BB14" s="7">
        <v>73581</v>
      </c>
      <c r="BC14" s="4">
        <f t="shared" si="20"/>
        <v>16152</v>
      </c>
      <c r="BD14" s="14">
        <v>89733</v>
      </c>
      <c r="BE14" s="5">
        <f t="shared" si="21"/>
        <v>0.98844484589456061</v>
      </c>
      <c r="BF14" s="8">
        <v>163900</v>
      </c>
      <c r="BG14" s="7">
        <v>123360</v>
      </c>
      <c r="BH14" s="4">
        <f t="shared" si="22"/>
        <v>39395</v>
      </c>
      <c r="BI14" s="14">
        <v>162755</v>
      </c>
      <c r="BJ14" s="5">
        <f t="shared" si="23"/>
        <v>0.99301403294691881</v>
      </c>
    </row>
    <row r="15" spans="1:62" x14ac:dyDescent="0.3">
      <c r="A15" s="18">
        <v>6</v>
      </c>
      <c r="B15" s="3" t="s">
        <v>11</v>
      </c>
      <c r="C15" s="8">
        <v>284262</v>
      </c>
      <c r="D15" s="7">
        <v>234795</v>
      </c>
      <c r="E15" s="4">
        <f t="shared" si="0"/>
        <v>48199</v>
      </c>
      <c r="F15" s="14">
        <v>282994</v>
      </c>
      <c r="G15" s="5">
        <f t="shared" si="1"/>
        <v>0.99553932639607123</v>
      </c>
      <c r="H15" s="8">
        <v>290906</v>
      </c>
      <c r="I15" s="7">
        <v>239596</v>
      </c>
      <c r="J15" s="4">
        <f t="shared" si="2"/>
        <v>47674</v>
      </c>
      <c r="K15" s="14">
        <v>287270</v>
      </c>
      <c r="L15" s="5">
        <f t="shared" si="3"/>
        <v>0.98750111719937028</v>
      </c>
      <c r="M15" s="8">
        <v>490131</v>
      </c>
      <c r="N15" s="7">
        <v>404254</v>
      </c>
      <c r="O15" s="4">
        <f t="shared" si="4"/>
        <v>81152</v>
      </c>
      <c r="P15" s="14">
        <v>485406</v>
      </c>
      <c r="Q15" s="5">
        <f t="shared" si="5"/>
        <v>0.99035972015644802</v>
      </c>
      <c r="R15" s="8">
        <v>287010</v>
      </c>
      <c r="S15" s="7">
        <v>232157</v>
      </c>
      <c r="T15" s="4">
        <f t="shared" si="6"/>
        <v>51977</v>
      </c>
      <c r="U15" s="14">
        <v>284134</v>
      </c>
      <c r="V15" s="5">
        <f t="shared" si="7"/>
        <v>0.98997944322497478</v>
      </c>
      <c r="W15" s="8">
        <v>292338</v>
      </c>
      <c r="X15" s="7">
        <v>238270</v>
      </c>
      <c r="Y15" s="4">
        <f t="shared" si="8"/>
        <v>49397</v>
      </c>
      <c r="Z15" s="14">
        <v>287667</v>
      </c>
      <c r="AA15" s="5">
        <f t="shared" si="9"/>
        <v>0.98402191983252263</v>
      </c>
      <c r="AB15" s="8">
        <v>495688</v>
      </c>
      <c r="AC15" s="7">
        <v>404292</v>
      </c>
      <c r="AD15" s="4">
        <f t="shared" si="10"/>
        <v>86710</v>
      </c>
      <c r="AE15" s="14">
        <v>491002</v>
      </c>
      <c r="AF15" s="5">
        <f t="shared" si="11"/>
        <v>0.99054647278126562</v>
      </c>
      <c r="AG15" s="8">
        <v>292071</v>
      </c>
      <c r="AH15" s="7">
        <v>234918</v>
      </c>
      <c r="AI15" s="4">
        <f t="shared" si="12"/>
        <v>54930</v>
      </c>
      <c r="AJ15" s="14">
        <v>289848</v>
      </c>
      <c r="AK15" s="5">
        <f t="shared" si="13"/>
        <v>0.99238883696087599</v>
      </c>
      <c r="AL15" s="8">
        <v>298411</v>
      </c>
      <c r="AM15" s="7">
        <v>246094</v>
      </c>
      <c r="AN15" s="4">
        <f t="shared" si="14"/>
        <v>47351</v>
      </c>
      <c r="AO15" s="14">
        <v>293445</v>
      </c>
      <c r="AP15" s="5">
        <f t="shared" si="15"/>
        <v>0.98335852230648335</v>
      </c>
      <c r="AQ15" s="8">
        <v>502913</v>
      </c>
      <c r="AR15" s="7">
        <v>423559</v>
      </c>
      <c r="AS15" s="4">
        <f t="shared" si="16"/>
        <v>75270</v>
      </c>
      <c r="AT15" s="14">
        <v>498829</v>
      </c>
      <c r="AU15" s="5">
        <f t="shared" si="17"/>
        <v>0.99187931113333716</v>
      </c>
      <c r="AV15" s="8">
        <v>298012</v>
      </c>
      <c r="AW15" s="7">
        <v>247267</v>
      </c>
      <c r="AX15" s="4">
        <f t="shared" si="18"/>
        <v>47933</v>
      </c>
      <c r="AY15" s="14">
        <v>295200</v>
      </c>
      <c r="AZ15" s="5">
        <f t="shared" si="19"/>
        <v>0.99056413835684465</v>
      </c>
      <c r="BA15" s="8">
        <v>303376</v>
      </c>
      <c r="BB15" s="7">
        <v>253578</v>
      </c>
      <c r="BC15" s="4">
        <f t="shared" si="20"/>
        <v>45490</v>
      </c>
      <c r="BD15" s="14">
        <v>299068</v>
      </c>
      <c r="BE15" s="5">
        <f t="shared" si="21"/>
        <v>0.98579979958862929</v>
      </c>
      <c r="BF15" s="8">
        <v>511329</v>
      </c>
      <c r="BG15" s="7">
        <v>414266</v>
      </c>
      <c r="BH15" s="4">
        <f t="shared" si="22"/>
        <v>92256</v>
      </c>
      <c r="BI15" s="14">
        <v>506522</v>
      </c>
      <c r="BJ15" s="5">
        <f t="shared" si="23"/>
        <v>0.99059900768389819</v>
      </c>
    </row>
    <row r="16" spans="1:62" x14ac:dyDescent="0.3">
      <c r="A16" s="18">
        <v>7</v>
      </c>
      <c r="B16" s="3" t="s">
        <v>12</v>
      </c>
      <c r="C16" s="8">
        <v>430635</v>
      </c>
      <c r="D16" s="7">
        <v>354767</v>
      </c>
      <c r="E16" s="4">
        <f t="shared" si="0"/>
        <v>73076</v>
      </c>
      <c r="F16" s="14">
        <v>427843</v>
      </c>
      <c r="G16" s="5">
        <f t="shared" si="1"/>
        <v>0.99351655113959614</v>
      </c>
      <c r="H16" s="8">
        <v>441093</v>
      </c>
      <c r="I16" s="7">
        <v>358385</v>
      </c>
      <c r="J16" s="4">
        <f t="shared" si="2"/>
        <v>74264</v>
      </c>
      <c r="K16" s="14">
        <v>432649</v>
      </c>
      <c r="L16" s="5">
        <f t="shared" si="3"/>
        <v>0.98085664474385226</v>
      </c>
      <c r="M16" s="8">
        <v>754668</v>
      </c>
      <c r="N16" s="7">
        <v>623970</v>
      </c>
      <c r="O16" s="4">
        <f t="shared" si="4"/>
        <v>125281</v>
      </c>
      <c r="P16" s="14">
        <v>749251</v>
      </c>
      <c r="Q16" s="5">
        <f t="shared" si="5"/>
        <v>0.99282200914839369</v>
      </c>
      <c r="R16" s="8">
        <v>429537</v>
      </c>
      <c r="S16" s="7">
        <v>346250</v>
      </c>
      <c r="T16" s="4">
        <f t="shared" si="6"/>
        <v>78608</v>
      </c>
      <c r="U16" s="14">
        <v>424858</v>
      </c>
      <c r="V16" s="5">
        <f t="shared" si="7"/>
        <v>0.98910687554273558</v>
      </c>
      <c r="W16" s="8">
        <v>433887</v>
      </c>
      <c r="X16" s="7">
        <v>351126</v>
      </c>
      <c r="Y16" s="4">
        <f t="shared" si="8"/>
        <v>75946</v>
      </c>
      <c r="Z16" s="14">
        <v>427072</v>
      </c>
      <c r="AA16" s="5">
        <f t="shared" si="9"/>
        <v>0.9842931454503131</v>
      </c>
      <c r="AB16" s="8">
        <v>753330</v>
      </c>
      <c r="AC16" s="7">
        <v>614205</v>
      </c>
      <c r="AD16" s="4">
        <f t="shared" si="10"/>
        <v>135748</v>
      </c>
      <c r="AE16" s="14">
        <v>749953</v>
      </c>
      <c r="AF16" s="5">
        <f t="shared" si="11"/>
        <v>0.99551723680193271</v>
      </c>
      <c r="AG16" s="8">
        <v>431686</v>
      </c>
      <c r="AH16" s="7">
        <v>344178</v>
      </c>
      <c r="AI16" s="4">
        <f t="shared" si="12"/>
        <v>82692</v>
      </c>
      <c r="AJ16" s="14">
        <v>426870</v>
      </c>
      <c r="AK16" s="5">
        <f t="shared" si="13"/>
        <v>0.98884374290572319</v>
      </c>
      <c r="AL16" s="8">
        <v>438911</v>
      </c>
      <c r="AM16" s="7">
        <v>356581</v>
      </c>
      <c r="AN16" s="4">
        <f t="shared" si="14"/>
        <v>73927</v>
      </c>
      <c r="AO16" s="14">
        <v>430508</v>
      </c>
      <c r="AP16" s="5">
        <f t="shared" si="15"/>
        <v>0.98085488857649961</v>
      </c>
      <c r="AQ16" s="8">
        <v>759875</v>
      </c>
      <c r="AR16" s="7">
        <v>636895</v>
      </c>
      <c r="AS16" s="4">
        <f t="shared" si="16"/>
        <v>119791</v>
      </c>
      <c r="AT16" s="14">
        <v>756686</v>
      </c>
      <c r="AU16" s="5">
        <f t="shared" si="17"/>
        <v>0.995803257114657</v>
      </c>
      <c r="AV16" s="8">
        <v>437477</v>
      </c>
      <c r="AW16" s="7">
        <v>362477</v>
      </c>
      <c r="AX16" s="4">
        <f t="shared" si="18"/>
        <v>69760</v>
      </c>
      <c r="AY16" s="14">
        <v>432237</v>
      </c>
      <c r="AZ16" s="5">
        <f t="shared" si="19"/>
        <v>0.98802222745424328</v>
      </c>
      <c r="BA16" s="8">
        <v>445887</v>
      </c>
      <c r="BB16" s="7">
        <v>366665</v>
      </c>
      <c r="BC16" s="4">
        <f t="shared" si="20"/>
        <v>70383</v>
      </c>
      <c r="BD16" s="14">
        <v>437048</v>
      </c>
      <c r="BE16" s="5">
        <f t="shared" si="21"/>
        <v>0.98017659182707728</v>
      </c>
      <c r="BF16" s="8">
        <v>770088</v>
      </c>
      <c r="BG16" s="7">
        <v>623555</v>
      </c>
      <c r="BH16" s="4">
        <f t="shared" si="22"/>
        <v>139102</v>
      </c>
      <c r="BI16" s="14">
        <v>762657</v>
      </c>
      <c r="BJ16" s="5">
        <f t="shared" si="23"/>
        <v>0.9903504534546701</v>
      </c>
    </row>
    <row r="17" spans="1:62" x14ac:dyDescent="0.3">
      <c r="A17" s="18">
        <v>8</v>
      </c>
      <c r="B17" s="3" t="s">
        <v>13</v>
      </c>
      <c r="C17" s="8">
        <v>302574</v>
      </c>
      <c r="D17" s="7">
        <v>251018</v>
      </c>
      <c r="E17" s="4">
        <f t="shared" si="0"/>
        <v>52671</v>
      </c>
      <c r="F17" s="14">
        <v>303689</v>
      </c>
      <c r="G17" s="5">
        <f t="shared" si="1"/>
        <v>1.003685048946704</v>
      </c>
      <c r="H17" s="8">
        <v>314962</v>
      </c>
      <c r="I17" s="7">
        <v>258627</v>
      </c>
      <c r="J17" s="4">
        <f t="shared" si="2"/>
        <v>52658</v>
      </c>
      <c r="K17" s="14">
        <v>311285</v>
      </c>
      <c r="L17" s="5">
        <f t="shared" si="3"/>
        <v>0.98832557578374536</v>
      </c>
      <c r="M17" s="8">
        <v>695415</v>
      </c>
      <c r="N17" s="7">
        <v>570661</v>
      </c>
      <c r="O17" s="4">
        <f t="shared" si="4"/>
        <v>119229</v>
      </c>
      <c r="P17" s="14">
        <v>689890</v>
      </c>
      <c r="Q17" s="5">
        <f t="shared" si="5"/>
        <v>0.99205510378694739</v>
      </c>
      <c r="R17" s="8">
        <v>305324</v>
      </c>
      <c r="S17" s="7">
        <v>248668</v>
      </c>
      <c r="T17" s="4">
        <f t="shared" si="6"/>
        <v>55779</v>
      </c>
      <c r="U17" s="14">
        <v>304447</v>
      </c>
      <c r="V17" s="5">
        <f t="shared" si="7"/>
        <v>0.99712764145628907</v>
      </c>
      <c r="W17" s="8">
        <v>316716</v>
      </c>
      <c r="X17" s="7">
        <v>254712</v>
      </c>
      <c r="Y17" s="4">
        <f t="shared" si="8"/>
        <v>55761</v>
      </c>
      <c r="Z17" s="14">
        <v>310473</v>
      </c>
      <c r="AA17" s="5">
        <f t="shared" si="9"/>
        <v>0.98028833402796201</v>
      </c>
      <c r="AB17" s="8">
        <v>703511</v>
      </c>
      <c r="AC17" s="7">
        <v>567284</v>
      </c>
      <c r="AD17" s="4">
        <f t="shared" si="10"/>
        <v>130668</v>
      </c>
      <c r="AE17" s="14">
        <v>697952</v>
      </c>
      <c r="AF17" s="5">
        <f t="shared" si="11"/>
        <v>0.99209820457675857</v>
      </c>
      <c r="AG17" s="8">
        <v>311084</v>
      </c>
      <c r="AH17" s="7">
        <v>247679</v>
      </c>
      <c r="AI17" s="4">
        <f t="shared" si="12"/>
        <v>62977</v>
      </c>
      <c r="AJ17" s="14">
        <v>310656</v>
      </c>
      <c r="AK17" s="5">
        <f t="shared" si="13"/>
        <v>0.99862416582016433</v>
      </c>
      <c r="AL17" s="8">
        <v>323550</v>
      </c>
      <c r="AM17" s="7">
        <v>265071</v>
      </c>
      <c r="AN17" s="4">
        <f t="shared" si="14"/>
        <v>52038</v>
      </c>
      <c r="AO17" s="14">
        <v>317109</v>
      </c>
      <c r="AP17" s="5">
        <f t="shared" si="15"/>
        <v>0.98009272137227632</v>
      </c>
      <c r="AQ17" s="8">
        <v>714257</v>
      </c>
      <c r="AR17" s="7">
        <v>599948</v>
      </c>
      <c r="AS17" s="4">
        <f t="shared" si="16"/>
        <v>112704</v>
      </c>
      <c r="AT17" s="14">
        <v>712652</v>
      </c>
      <c r="AU17" s="5">
        <f t="shared" si="17"/>
        <v>0.99775290966696861</v>
      </c>
      <c r="AV17" s="8">
        <v>316308</v>
      </c>
      <c r="AW17" s="7">
        <v>265332</v>
      </c>
      <c r="AX17" s="4">
        <f t="shared" si="18"/>
        <v>51023</v>
      </c>
      <c r="AY17" s="14">
        <v>316355</v>
      </c>
      <c r="AZ17" s="5">
        <f t="shared" si="19"/>
        <v>1.0001485893496214</v>
      </c>
      <c r="BA17" s="8">
        <v>328067</v>
      </c>
      <c r="BB17" s="7">
        <v>275554</v>
      </c>
      <c r="BC17" s="4">
        <f t="shared" si="20"/>
        <v>47062</v>
      </c>
      <c r="BD17" s="14">
        <v>322616</v>
      </c>
      <c r="BE17" s="5">
        <f t="shared" si="21"/>
        <v>0.98338449158251207</v>
      </c>
      <c r="BF17" s="8">
        <v>726752</v>
      </c>
      <c r="BG17" s="7">
        <v>580052</v>
      </c>
      <c r="BH17" s="4">
        <f t="shared" si="22"/>
        <v>143619</v>
      </c>
      <c r="BI17" s="14">
        <v>723671</v>
      </c>
      <c r="BJ17" s="5">
        <f t="shared" si="23"/>
        <v>0.99576058958214086</v>
      </c>
    </row>
    <row r="18" spans="1:62" x14ac:dyDescent="0.3">
      <c r="A18" s="18">
        <v>9</v>
      </c>
      <c r="B18" s="3" t="s">
        <v>14</v>
      </c>
      <c r="C18" s="8">
        <v>921236</v>
      </c>
      <c r="D18" s="7">
        <v>752631</v>
      </c>
      <c r="E18" s="4">
        <f t="shared" si="0"/>
        <v>166588</v>
      </c>
      <c r="F18" s="14">
        <v>919219</v>
      </c>
      <c r="G18" s="5">
        <f t="shared" si="1"/>
        <v>0.99781055017389686</v>
      </c>
      <c r="H18" s="8">
        <v>943261</v>
      </c>
      <c r="I18" s="7">
        <v>769428</v>
      </c>
      <c r="J18" s="4">
        <f t="shared" si="2"/>
        <v>163777</v>
      </c>
      <c r="K18" s="14">
        <v>933205</v>
      </c>
      <c r="L18" s="5">
        <f t="shared" si="3"/>
        <v>0.98933911186829515</v>
      </c>
      <c r="M18" s="8">
        <v>1440086</v>
      </c>
      <c r="N18" s="7">
        <v>1175058</v>
      </c>
      <c r="O18" s="4">
        <f t="shared" si="4"/>
        <v>251626</v>
      </c>
      <c r="P18" s="14">
        <v>1426684</v>
      </c>
      <c r="Q18" s="5">
        <f t="shared" si="5"/>
        <v>0.99069361135376632</v>
      </c>
      <c r="R18" s="8">
        <v>938677</v>
      </c>
      <c r="S18" s="7">
        <v>758668</v>
      </c>
      <c r="T18" s="4">
        <f t="shared" si="6"/>
        <v>170582</v>
      </c>
      <c r="U18" s="14">
        <v>929250</v>
      </c>
      <c r="V18" s="5">
        <f t="shared" si="7"/>
        <v>0.98995714180703265</v>
      </c>
      <c r="W18" s="8">
        <v>958009</v>
      </c>
      <c r="X18" s="7">
        <v>774571</v>
      </c>
      <c r="Y18" s="4">
        <f t="shared" si="8"/>
        <v>168968</v>
      </c>
      <c r="Z18" s="14">
        <v>943539</v>
      </c>
      <c r="AA18" s="5">
        <f t="shared" si="9"/>
        <v>0.98489575776427984</v>
      </c>
      <c r="AB18" s="8">
        <v>1463397</v>
      </c>
      <c r="AC18" s="7">
        <v>1176992</v>
      </c>
      <c r="AD18" s="4">
        <f t="shared" si="10"/>
        <v>274005</v>
      </c>
      <c r="AE18" s="14">
        <v>1450997</v>
      </c>
      <c r="AF18" s="5">
        <f t="shared" si="11"/>
        <v>0.99152656456176969</v>
      </c>
      <c r="AG18" s="8">
        <v>959088</v>
      </c>
      <c r="AH18" s="7">
        <v>756853</v>
      </c>
      <c r="AI18" s="4">
        <f t="shared" si="12"/>
        <v>194974</v>
      </c>
      <c r="AJ18" s="14">
        <v>951827</v>
      </c>
      <c r="AK18" s="5">
        <f t="shared" si="13"/>
        <v>0.99242926613616267</v>
      </c>
      <c r="AL18" s="8">
        <v>980581</v>
      </c>
      <c r="AM18" s="7">
        <v>797542</v>
      </c>
      <c r="AN18" s="4">
        <f t="shared" si="14"/>
        <v>166646</v>
      </c>
      <c r="AO18" s="14">
        <v>964188</v>
      </c>
      <c r="AP18" s="5">
        <f t="shared" si="15"/>
        <v>0.9832823601517876</v>
      </c>
      <c r="AQ18" s="8">
        <v>1490329</v>
      </c>
      <c r="AR18" s="7">
        <v>1236476</v>
      </c>
      <c r="AS18" s="4">
        <f t="shared" si="16"/>
        <v>245820</v>
      </c>
      <c r="AT18" s="14">
        <v>1482296</v>
      </c>
      <c r="AU18" s="5">
        <f t="shared" si="17"/>
        <v>0.99460991499192464</v>
      </c>
      <c r="AV18" s="8">
        <v>983291</v>
      </c>
      <c r="AW18" s="7">
        <v>805756</v>
      </c>
      <c r="AX18" s="4">
        <f t="shared" si="18"/>
        <v>169939</v>
      </c>
      <c r="AY18" s="14">
        <v>975695</v>
      </c>
      <c r="AZ18" s="5">
        <f t="shared" si="19"/>
        <v>0.99227492166611919</v>
      </c>
      <c r="BA18" s="8">
        <v>1002255</v>
      </c>
      <c r="BB18" s="7">
        <v>827601</v>
      </c>
      <c r="BC18" s="4">
        <f t="shared" si="20"/>
        <v>160432</v>
      </c>
      <c r="BD18" s="14">
        <v>988033</v>
      </c>
      <c r="BE18" s="5">
        <f t="shared" si="21"/>
        <v>0.98580999845348738</v>
      </c>
      <c r="BF18" s="8">
        <v>1522890</v>
      </c>
      <c r="BG18" s="7">
        <v>1179741</v>
      </c>
      <c r="BH18" s="4">
        <f t="shared" si="22"/>
        <v>328894</v>
      </c>
      <c r="BI18" s="14">
        <v>1508635</v>
      </c>
      <c r="BJ18" s="5">
        <f t="shared" si="23"/>
        <v>0.99063950777797483</v>
      </c>
    </row>
    <row r="19" spans="1:62" x14ac:dyDescent="0.3">
      <c r="A19" s="19">
        <v>10</v>
      </c>
      <c r="B19" s="3" t="s">
        <v>15</v>
      </c>
      <c r="C19" s="8">
        <v>275195</v>
      </c>
      <c r="D19" s="7">
        <v>207743</v>
      </c>
      <c r="E19" s="4">
        <f t="shared" si="0"/>
        <v>63699</v>
      </c>
      <c r="F19" s="14">
        <v>271442</v>
      </c>
      <c r="G19" s="5">
        <f t="shared" si="1"/>
        <v>0.98636239757263033</v>
      </c>
      <c r="H19" s="8">
        <v>285702</v>
      </c>
      <c r="I19" s="7">
        <v>216762</v>
      </c>
      <c r="J19" s="4">
        <f t="shared" si="2"/>
        <v>60405</v>
      </c>
      <c r="K19" s="14">
        <v>277167</v>
      </c>
      <c r="L19" s="5">
        <f t="shared" si="3"/>
        <v>0.97012621542726341</v>
      </c>
      <c r="M19" s="8">
        <v>479092</v>
      </c>
      <c r="N19" s="7">
        <v>374905</v>
      </c>
      <c r="O19" s="4">
        <f t="shared" si="4"/>
        <v>93693</v>
      </c>
      <c r="P19" s="14">
        <v>468598</v>
      </c>
      <c r="Q19" s="5">
        <f t="shared" si="5"/>
        <v>0.97809606505639834</v>
      </c>
      <c r="R19" s="8">
        <v>279649</v>
      </c>
      <c r="S19" s="7">
        <v>215044</v>
      </c>
      <c r="T19" s="4">
        <f t="shared" si="6"/>
        <v>57683</v>
      </c>
      <c r="U19" s="14">
        <v>272727</v>
      </c>
      <c r="V19" s="5">
        <f t="shared" si="7"/>
        <v>0.97524754245500611</v>
      </c>
      <c r="W19" s="8">
        <v>287758</v>
      </c>
      <c r="X19" s="7">
        <v>217420</v>
      </c>
      <c r="Y19" s="4">
        <f t="shared" si="8"/>
        <v>59147</v>
      </c>
      <c r="Z19" s="14">
        <v>276567</v>
      </c>
      <c r="AA19" s="5">
        <f t="shared" si="9"/>
        <v>0.96110968244149597</v>
      </c>
      <c r="AB19" s="8">
        <v>485015</v>
      </c>
      <c r="AC19" s="7">
        <v>373186</v>
      </c>
      <c r="AD19" s="4">
        <f t="shared" si="10"/>
        <v>101641</v>
      </c>
      <c r="AE19" s="14">
        <v>474827</v>
      </c>
      <c r="AF19" s="5">
        <f t="shared" si="11"/>
        <v>0.97899446408873947</v>
      </c>
      <c r="AG19" s="8">
        <v>283525</v>
      </c>
      <c r="AH19" s="7">
        <v>202103</v>
      </c>
      <c r="AI19" s="4">
        <f t="shared" si="12"/>
        <v>74512</v>
      </c>
      <c r="AJ19" s="14">
        <v>276615</v>
      </c>
      <c r="AK19" s="5">
        <f t="shared" si="13"/>
        <v>0.9756282514769421</v>
      </c>
      <c r="AL19" s="8">
        <v>295027</v>
      </c>
      <c r="AM19" s="7">
        <v>224078</v>
      </c>
      <c r="AN19" s="4">
        <f t="shared" si="14"/>
        <v>57970</v>
      </c>
      <c r="AO19" s="14">
        <v>282048</v>
      </c>
      <c r="AP19" s="5">
        <f t="shared" si="15"/>
        <v>0.95600741627037522</v>
      </c>
      <c r="AQ19" s="8">
        <v>494059</v>
      </c>
      <c r="AR19" s="7">
        <v>394788</v>
      </c>
      <c r="AS19" s="4">
        <f t="shared" si="16"/>
        <v>91388</v>
      </c>
      <c r="AT19" s="14">
        <v>486176</v>
      </c>
      <c r="AU19" s="5">
        <f t="shared" si="17"/>
        <v>0.98404441574791679</v>
      </c>
      <c r="AV19" s="8">
        <v>287237</v>
      </c>
      <c r="AW19" s="7">
        <v>226750</v>
      </c>
      <c r="AX19" s="4">
        <f t="shared" si="18"/>
        <v>56522</v>
      </c>
      <c r="AY19" s="14">
        <v>283272</v>
      </c>
      <c r="AZ19" s="5">
        <f t="shared" si="19"/>
        <v>0.98619606805529925</v>
      </c>
      <c r="BA19" s="8">
        <v>298081</v>
      </c>
      <c r="BB19" s="7">
        <v>232511</v>
      </c>
      <c r="BC19" s="4">
        <f t="shared" si="20"/>
        <v>54864</v>
      </c>
      <c r="BD19" s="14">
        <v>287375</v>
      </c>
      <c r="BE19" s="5">
        <f t="shared" si="21"/>
        <v>0.96408358801802196</v>
      </c>
      <c r="BF19" s="8">
        <v>503654</v>
      </c>
      <c r="BG19" s="7">
        <v>360396</v>
      </c>
      <c r="BH19" s="4">
        <f t="shared" si="22"/>
        <v>132046</v>
      </c>
      <c r="BI19" s="14">
        <v>492442</v>
      </c>
      <c r="BJ19" s="5">
        <f t="shared" si="23"/>
        <v>0.97773868568501388</v>
      </c>
    </row>
    <row r="20" spans="1:62" x14ac:dyDescent="0.3">
      <c r="A20" s="19">
        <v>11</v>
      </c>
      <c r="B20" s="3" t="s">
        <v>16</v>
      </c>
      <c r="C20" s="8">
        <v>5644</v>
      </c>
      <c r="D20" s="7">
        <v>4293</v>
      </c>
      <c r="E20" s="4">
        <f t="shared" si="0"/>
        <v>1506</v>
      </c>
      <c r="F20" s="14">
        <v>5799</v>
      </c>
      <c r="G20" s="5">
        <f t="shared" si="1"/>
        <v>1.0274627923458539</v>
      </c>
      <c r="H20" s="8">
        <v>5914</v>
      </c>
      <c r="I20" s="7">
        <v>4424</v>
      </c>
      <c r="J20" s="4">
        <f t="shared" si="2"/>
        <v>1533</v>
      </c>
      <c r="K20" s="14">
        <v>5957</v>
      </c>
      <c r="L20" s="5">
        <f t="shared" si="3"/>
        <v>1.0072708826513359</v>
      </c>
      <c r="M20" s="8">
        <v>9037</v>
      </c>
      <c r="N20" s="7">
        <v>7070</v>
      </c>
      <c r="O20" s="4">
        <f t="shared" si="4"/>
        <v>2198</v>
      </c>
      <c r="P20" s="14">
        <v>9268</v>
      </c>
      <c r="Q20" s="5">
        <f t="shared" si="5"/>
        <v>1.0255615801704105</v>
      </c>
      <c r="R20" s="8">
        <v>5910</v>
      </c>
      <c r="S20" s="7">
        <v>4525</v>
      </c>
      <c r="T20" s="4">
        <f t="shared" si="6"/>
        <v>1505</v>
      </c>
      <c r="U20" s="14">
        <v>6030</v>
      </c>
      <c r="V20" s="5">
        <f t="shared" si="7"/>
        <v>1.0203045685279188</v>
      </c>
      <c r="W20" s="8">
        <v>6115</v>
      </c>
      <c r="X20" s="7">
        <v>4655</v>
      </c>
      <c r="Y20" s="4">
        <f t="shared" si="8"/>
        <v>1487</v>
      </c>
      <c r="Z20" s="14">
        <v>6142</v>
      </c>
      <c r="AA20" s="5">
        <f t="shared" si="9"/>
        <v>1.0044153720359772</v>
      </c>
      <c r="AB20" s="8">
        <v>9431</v>
      </c>
      <c r="AC20" s="7">
        <v>7221</v>
      </c>
      <c r="AD20" s="4">
        <f t="shared" si="10"/>
        <v>2316</v>
      </c>
      <c r="AE20" s="14">
        <v>9537</v>
      </c>
      <c r="AF20" s="5">
        <f t="shared" si="11"/>
        <v>1.0112395292121725</v>
      </c>
      <c r="AG20" s="8">
        <v>6099</v>
      </c>
      <c r="AH20" s="7">
        <v>4397</v>
      </c>
      <c r="AI20" s="4">
        <f t="shared" si="12"/>
        <v>1753</v>
      </c>
      <c r="AJ20" s="14">
        <v>6150</v>
      </c>
      <c r="AK20" s="5">
        <f t="shared" si="13"/>
        <v>1.0083620265617315</v>
      </c>
      <c r="AL20" s="8">
        <v>6250</v>
      </c>
      <c r="AM20" s="7">
        <v>4737</v>
      </c>
      <c r="AN20" s="4">
        <f t="shared" si="14"/>
        <v>1502</v>
      </c>
      <c r="AO20" s="14">
        <v>6239</v>
      </c>
      <c r="AP20" s="5">
        <f t="shared" si="15"/>
        <v>0.99824000000000002</v>
      </c>
      <c r="AQ20" s="8">
        <v>9632</v>
      </c>
      <c r="AR20" s="7">
        <v>7372</v>
      </c>
      <c r="AS20" s="4">
        <f t="shared" si="16"/>
        <v>2347</v>
      </c>
      <c r="AT20" s="14">
        <v>9719</v>
      </c>
      <c r="AU20" s="5">
        <f t="shared" si="17"/>
        <v>1.009032392026578</v>
      </c>
      <c r="AV20" s="8">
        <v>6297</v>
      </c>
      <c r="AW20" s="7">
        <v>4603</v>
      </c>
      <c r="AX20" s="4">
        <f t="shared" si="18"/>
        <v>1657</v>
      </c>
      <c r="AY20" s="14">
        <v>6260</v>
      </c>
      <c r="AZ20" s="5">
        <f t="shared" si="19"/>
        <v>0.99412418612037479</v>
      </c>
      <c r="BA20" s="8">
        <v>6366</v>
      </c>
      <c r="BB20" s="7">
        <v>4608</v>
      </c>
      <c r="BC20" s="4">
        <f t="shared" si="20"/>
        <v>1681</v>
      </c>
      <c r="BD20" s="14">
        <v>6289</v>
      </c>
      <c r="BE20" s="5">
        <f t="shared" si="21"/>
        <v>0.98790449261702795</v>
      </c>
      <c r="BF20" s="8">
        <v>9853</v>
      </c>
      <c r="BG20" s="7">
        <v>6635</v>
      </c>
      <c r="BH20" s="4">
        <f t="shared" si="22"/>
        <v>3228</v>
      </c>
      <c r="BI20" s="14">
        <v>9863</v>
      </c>
      <c r="BJ20" s="5">
        <f t="shared" si="23"/>
        <v>1.0010149193139146</v>
      </c>
    </row>
    <row r="21" spans="1:62" x14ac:dyDescent="0.3">
      <c r="A21" s="19">
        <v>12</v>
      </c>
      <c r="B21" s="3" t="s">
        <v>17</v>
      </c>
      <c r="C21" s="8">
        <v>9571</v>
      </c>
      <c r="D21" s="7">
        <v>6134</v>
      </c>
      <c r="E21" s="4">
        <f t="shared" si="0"/>
        <v>3686</v>
      </c>
      <c r="F21" s="14">
        <v>9820</v>
      </c>
      <c r="G21" s="5">
        <f t="shared" si="1"/>
        <v>1.0260160902726987</v>
      </c>
      <c r="H21" s="8">
        <v>10057</v>
      </c>
      <c r="I21" s="7">
        <v>6479</v>
      </c>
      <c r="J21" s="4">
        <f t="shared" si="2"/>
        <v>3483</v>
      </c>
      <c r="K21" s="14">
        <v>9962</v>
      </c>
      <c r="L21" s="5">
        <f t="shared" si="3"/>
        <v>0.99055384309436212</v>
      </c>
      <c r="M21" s="8">
        <v>12982</v>
      </c>
      <c r="N21" s="7">
        <v>8941</v>
      </c>
      <c r="O21" s="4">
        <f t="shared" si="4"/>
        <v>4278</v>
      </c>
      <c r="P21" s="14">
        <v>13219</v>
      </c>
      <c r="Q21" s="5">
        <f t="shared" si="5"/>
        <v>1.018256046834078</v>
      </c>
      <c r="R21" s="8">
        <v>9811</v>
      </c>
      <c r="S21" s="7">
        <v>6561</v>
      </c>
      <c r="T21" s="4">
        <f t="shared" si="6"/>
        <v>3460</v>
      </c>
      <c r="U21" s="14">
        <v>10021</v>
      </c>
      <c r="V21" s="5">
        <f t="shared" si="7"/>
        <v>1.0214045459178474</v>
      </c>
      <c r="W21" s="8">
        <v>10152</v>
      </c>
      <c r="X21" s="7">
        <v>6886</v>
      </c>
      <c r="Y21" s="4">
        <f t="shared" si="8"/>
        <v>3277</v>
      </c>
      <c r="Z21" s="14">
        <v>10163</v>
      </c>
      <c r="AA21" s="5">
        <f t="shared" si="9"/>
        <v>1.0010835303388494</v>
      </c>
      <c r="AB21" s="8">
        <v>13231</v>
      </c>
      <c r="AC21" s="7">
        <v>9210</v>
      </c>
      <c r="AD21" s="4">
        <f t="shared" si="10"/>
        <v>4330</v>
      </c>
      <c r="AE21" s="14">
        <v>13540</v>
      </c>
      <c r="AF21" s="5">
        <f t="shared" si="11"/>
        <v>1.0233542438213288</v>
      </c>
      <c r="AG21" s="8">
        <v>10040</v>
      </c>
      <c r="AH21" s="7">
        <v>6428</v>
      </c>
      <c r="AI21" s="4">
        <f t="shared" si="12"/>
        <v>3804</v>
      </c>
      <c r="AJ21" s="14">
        <v>10232</v>
      </c>
      <c r="AK21" s="5">
        <f t="shared" si="13"/>
        <v>1.0191235059760957</v>
      </c>
      <c r="AL21" s="8">
        <v>10211</v>
      </c>
      <c r="AM21" s="7">
        <v>6947</v>
      </c>
      <c r="AN21" s="4">
        <f t="shared" si="14"/>
        <v>3435</v>
      </c>
      <c r="AO21" s="14">
        <v>10382</v>
      </c>
      <c r="AP21" s="5">
        <f t="shared" si="15"/>
        <v>1.0167466457741652</v>
      </c>
      <c r="AQ21" s="8">
        <v>13473</v>
      </c>
      <c r="AR21" s="7">
        <v>9603</v>
      </c>
      <c r="AS21" s="4">
        <f t="shared" si="16"/>
        <v>4258</v>
      </c>
      <c r="AT21" s="14">
        <v>13861</v>
      </c>
      <c r="AU21" s="5">
        <f t="shared" si="17"/>
        <v>1.0287983374155718</v>
      </c>
      <c r="AV21" s="8">
        <v>10213</v>
      </c>
      <c r="AW21" s="7">
        <v>6983</v>
      </c>
      <c r="AX21" s="4">
        <f t="shared" si="18"/>
        <v>3501</v>
      </c>
      <c r="AY21" s="14">
        <v>10484</v>
      </c>
      <c r="AZ21" s="5">
        <f t="shared" si="19"/>
        <v>1.0265348085773034</v>
      </c>
      <c r="BA21" s="8">
        <v>10449</v>
      </c>
      <c r="BB21" s="7">
        <v>7298</v>
      </c>
      <c r="BC21" s="4">
        <f t="shared" si="20"/>
        <v>3307</v>
      </c>
      <c r="BD21" s="14">
        <v>10605</v>
      </c>
      <c r="BE21" s="5">
        <f t="shared" si="21"/>
        <v>1.014929658340511</v>
      </c>
      <c r="BF21" s="8">
        <v>13925</v>
      </c>
      <c r="BG21" s="7">
        <v>7827</v>
      </c>
      <c r="BH21" s="4">
        <f t="shared" si="22"/>
        <v>6447</v>
      </c>
      <c r="BI21" s="14">
        <v>14274</v>
      </c>
      <c r="BJ21" s="5">
        <f t="shared" si="23"/>
        <v>1.0250628366247756</v>
      </c>
    </row>
    <row r="22" spans="1:62" x14ac:dyDescent="0.3">
      <c r="A22" s="19">
        <v>13</v>
      </c>
      <c r="B22" s="3" t="s">
        <v>18</v>
      </c>
      <c r="C22" s="8">
        <v>6159</v>
      </c>
      <c r="D22" s="7">
        <v>4395</v>
      </c>
      <c r="E22" s="4">
        <f t="shared" si="0"/>
        <v>1824</v>
      </c>
      <c r="F22" s="14">
        <v>6219</v>
      </c>
      <c r="G22" s="5">
        <f t="shared" si="1"/>
        <v>1.0097418412079884</v>
      </c>
      <c r="H22" s="8">
        <v>6265</v>
      </c>
      <c r="I22" s="7">
        <v>4532</v>
      </c>
      <c r="J22" s="4">
        <f t="shared" si="2"/>
        <v>1768</v>
      </c>
      <c r="K22" s="14">
        <v>6300</v>
      </c>
      <c r="L22" s="5">
        <f t="shared" si="3"/>
        <v>1.005586592178771</v>
      </c>
      <c r="M22" s="8">
        <v>7537</v>
      </c>
      <c r="N22" s="7">
        <v>5554</v>
      </c>
      <c r="O22" s="4">
        <f t="shared" si="4"/>
        <v>2033</v>
      </c>
      <c r="P22" s="14">
        <v>7587</v>
      </c>
      <c r="Q22" s="5">
        <f t="shared" si="5"/>
        <v>1.0066339392331167</v>
      </c>
      <c r="R22" s="8">
        <v>6306</v>
      </c>
      <c r="S22" s="7">
        <v>4587</v>
      </c>
      <c r="T22" s="4">
        <f t="shared" si="6"/>
        <v>1765</v>
      </c>
      <c r="U22" s="14">
        <v>6352</v>
      </c>
      <c r="V22" s="5">
        <f t="shared" si="7"/>
        <v>1.0072946400253726</v>
      </c>
      <c r="W22" s="8">
        <v>6435</v>
      </c>
      <c r="X22" s="7">
        <v>4670</v>
      </c>
      <c r="Y22" s="4">
        <f t="shared" si="8"/>
        <v>1753</v>
      </c>
      <c r="Z22" s="14">
        <v>6423</v>
      </c>
      <c r="AA22" s="5">
        <f t="shared" si="9"/>
        <v>0.99813519813519813</v>
      </c>
      <c r="AB22" s="8">
        <v>7668</v>
      </c>
      <c r="AC22" s="7">
        <v>5664</v>
      </c>
      <c r="AD22" s="4">
        <f t="shared" si="10"/>
        <v>2032</v>
      </c>
      <c r="AE22" s="14">
        <v>7696</v>
      </c>
      <c r="AF22" s="5">
        <f t="shared" si="11"/>
        <v>1.0036515388628064</v>
      </c>
      <c r="AG22" s="8">
        <v>6422</v>
      </c>
      <c r="AH22" s="7">
        <v>4625</v>
      </c>
      <c r="AI22" s="4">
        <f t="shared" si="12"/>
        <v>1813</v>
      </c>
      <c r="AJ22" s="14">
        <v>6438</v>
      </c>
      <c r="AK22" s="5">
        <f t="shared" si="13"/>
        <v>1.0024914356898162</v>
      </c>
      <c r="AL22" s="8">
        <v>6508</v>
      </c>
      <c r="AM22" s="7">
        <v>4869</v>
      </c>
      <c r="AN22" s="4">
        <f t="shared" si="14"/>
        <v>1617</v>
      </c>
      <c r="AO22" s="14">
        <v>6486</v>
      </c>
      <c r="AP22" s="5">
        <f t="shared" si="15"/>
        <v>0.99661954517516904</v>
      </c>
      <c r="AQ22" s="8">
        <v>7781</v>
      </c>
      <c r="AR22" s="7">
        <v>5712</v>
      </c>
      <c r="AS22" s="4">
        <f t="shared" si="16"/>
        <v>2078</v>
      </c>
      <c r="AT22" s="14">
        <v>7790</v>
      </c>
      <c r="AU22" s="5">
        <f t="shared" si="17"/>
        <v>1.001156663667909</v>
      </c>
      <c r="AV22" s="8">
        <v>6603</v>
      </c>
      <c r="AW22" s="7">
        <v>4869</v>
      </c>
      <c r="AX22" s="4">
        <f t="shared" si="18"/>
        <v>1630</v>
      </c>
      <c r="AY22" s="14">
        <v>6499</v>
      </c>
      <c r="AZ22" s="5">
        <f t="shared" si="19"/>
        <v>0.98424958352264125</v>
      </c>
      <c r="BA22" s="8">
        <v>6608</v>
      </c>
      <c r="BB22" s="7">
        <v>4948</v>
      </c>
      <c r="BC22" s="4">
        <f t="shared" si="20"/>
        <v>1592</v>
      </c>
      <c r="BD22" s="14">
        <v>6540</v>
      </c>
      <c r="BE22" s="5">
        <f t="shared" si="21"/>
        <v>0.98970944309927356</v>
      </c>
      <c r="BF22" s="8">
        <v>7906</v>
      </c>
      <c r="BG22" s="7">
        <v>5498</v>
      </c>
      <c r="BH22" s="4">
        <f t="shared" si="22"/>
        <v>2431</v>
      </c>
      <c r="BI22" s="14">
        <v>7929</v>
      </c>
      <c r="BJ22" s="5">
        <f t="shared" si="23"/>
        <v>1.0029091828990639</v>
      </c>
    </row>
    <row r="23" spans="1:62" x14ac:dyDescent="0.3">
      <c r="A23" s="19">
        <v>14</v>
      </c>
      <c r="B23" s="3" t="s">
        <v>19</v>
      </c>
      <c r="C23" s="8">
        <v>8800</v>
      </c>
      <c r="D23" s="7">
        <v>2487</v>
      </c>
      <c r="E23" s="4">
        <f t="shared" si="0"/>
        <v>5973</v>
      </c>
      <c r="F23" s="14">
        <v>8460</v>
      </c>
      <c r="G23" s="5">
        <f t="shared" si="1"/>
        <v>0.96136363636363631</v>
      </c>
      <c r="H23" s="8">
        <v>8763</v>
      </c>
      <c r="I23" s="7">
        <v>3352</v>
      </c>
      <c r="J23" s="4">
        <f t="shared" si="2"/>
        <v>5135</v>
      </c>
      <c r="K23" s="14">
        <v>8487</v>
      </c>
      <c r="L23" s="5">
        <f t="shared" si="3"/>
        <v>0.96850393700787396</v>
      </c>
      <c r="M23" s="8">
        <v>10654</v>
      </c>
      <c r="N23" s="7">
        <v>4932</v>
      </c>
      <c r="O23" s="4">
        <f t="shared" si="4"/>
        <v>5530</v>
      </c>
      <c r="P23" s="14">
        <v>10462</v>
      </c>
      <c r="Q23" s="5">
        <f t="shared" si="5"/>
        <v>0.98197859958700962</v>
      </c>
      <c r="R23" s="8">
        <v>8621</v>
      </c>
      <c r="S23" s="7">
        <v>4644</v>
      </c>
      <c r="T23" s="4">
        <f t="shared" si="6"/>
        <v>3736</v>
      </c>
      <c r="U23" s="14">
        <v>8380</v>
      </c>
      <c r="V23" s="5">
        <f t="shared" si="7"/>
        <v>0.97204500637977032</v>
      </c>
      <c r="W23" s="8">
        <v>8774</v>
      </c>
      <c r="X23" s="7">
        <v>4731</v>
      </c>
      <c r="Y23" s="4">
        <f t="shared" si="8"/>
        <v>3683</v>
      </c>
      <c r="Z23" s="14">
        <v>8414</v>
      </c>
      <c r="AA23" s="5">
        <f t="shared" si="9"/>
        <v>0.95896968315477549</v>
      </c>
      <c r="AB23" s="8">
        <v>10734</v>
      </c>
      <c r="AC23" s="7">
        <v>6888</v>
      </c>
      <c r="AD23" s="4">
        <f t="shared" si="10"/>
        <v>3649</v>
      </c>
      <c r="AE23" s="14">
        <v>10537</v>
      </c>
      <c r="AF23" s="5">
        <f t="shared" si="11"/>
        <v>0.98164710266443078</v>
      </c>
      <c r="AG23" s="8">
        <v>8589</v>
      </c>
      <c r="AH23" s="7">
        <v>5342</v>
      </c>
      <c r="AI23" s="4">
        <f t="shared" si="12"/>
        <v>3084</v>
      </c>
      <c r="AJ23" s="14">
        <v>8426</v>
      </c>
      <c r="AK23" s="5">
        <f t="shared" si="13"/>
        <v>0.9810222377459541</v>
      </c>
      <c r="AL23" s="8">
        <v>8660</v>
      </c>
      <c r="AM23" s="7">
        <v>5602</v>
      </c>
      <c r="AN23" s="4">
        <f t="shared" si="14"/>
        <v>2884</v>
      </c>
      <c r="AO23" s="14">
        <v>8486</v>
      </c>
      <c r="AP23" s="5">
        <f t="shared" si="15"/>
        <v>0.97990762124711317</v>
      </c>
      <c r="AQ23" s="8">
        <v>10698</v>
      </c>
      <c r="AR23" s="7">
        <v>7219</v>
      </c>
      <c r="AS23" s="4">
        <f t="shared" si="16"/>
        <v>3495</v>
      </c>
      <c r="AT23" s="14">
        <v>10714</v>
      </c>
      <c r="AU23" s="5">
        <f t="shared" si="17"/>
        <v>1.0014956066554497</v>
      </c>
      <c r="AV23" s="8">
        <v>8445</v>
      </c>
      <c r="AW23" s="7">
        <v>5698</v>
      </c>
      <c r="AX23" s="4">
        <f t="shared" si="18"/>
        <v>2779</v>
      </c>
      <c r="AY23" s="14">
        <v>8477</v>
      </c>
      <c r="AZ23" s="5">
        <f t="shared" si="19"/>
        <v>1.0037892243931321</v>
      </c>
      <c r="BA23" s="8">
        <v>8623</v>
      </c>
      <c r="BB23" s="7">
        <v>5823</v>
      </c>
      <c r="BC23" s="4">
        <f t="shared" si="20"/>
        <v>2699</v>
      </c>
      <c r="BD23" s="14">
        <v>8522</v>
      </c>
      <c r="BE23" s="5">
        <f t="shared" si="21"/>
        <v>0.98828713904673549</v>
      </c>
      <c r="BF23" s="8">
        <v>11023</v>
      </c>
      <c r="BG23" s="7">
        <v>6671</v>
      </c>
      <c r="BH23" s="4">
        <f t="shared" si="22"/>
        <v>4207</v>
      </c>
      <c r="BI23" s="14">
        <v>10878</v>
      </c>
      <c r="BJ23" s="5">
        <f t="shared" si="23"/>
        <v>0.98684568629229796</v>
      </c>
    </row>
    <row r="24" spans="1:62" x14ac:dyDescent="0.3">
      <c r="A24" s="19">
        <v>15</v>
      </c>
      <c r="B24" s="3" t="s">
        <v>20</v>
      </c>
      <c r="C24" s="8">
        <v>5637</v>
      </c>
      <c r="D24" s="7">
        <v>4232</v>
      </c>
      <c r="E24" s="4">
        <f t="shared" si="0"/>
        <v>1322</v>
      </c>
      <c r="F24" s="14">
        <v>5554</v>
      </c>
      <c r="G24" s="5">
        <f t="shared" si="1"/>
        <v>0.98527585595174738</v>
      </c>
      <c r="H24" s="8">
        <v>5804</v>
      </c>
      <c r="I24" s="7">
        <v>4383</v>
      </c>
      <c r="J24" s="4">
        <f t="shared" si="2"/>
        <v>1244</v>
      </c>
      <c r="K24" s="14">
        <v>5627</v>
      </c>
      <c r="L24" s="5">
        <f t="shared" si="3"/>
        <v>0.96950379048931767</v>
      </c>
      <c r="M24" s="8">
        <v>6771</v>
      </c>
      <c r="N24" s="7">
        <v>5256</v>
      </c>
      <c r="O24" s="4">
        <f t="shared" si="4"/>
        <v>1360</v>
      </c>
      <c r="P24" s="14">
        <v>6616</v>
      </c>
      <c r="Q24" s="5">
        <f t="shared" si="5"/>
        <v>0.9771082557967804</v>
      </c>
      <c r="R24" s="8">
        <v>5821</v>
      </c>
      <c r="S24" s="7">
        <v>4316</v>
      </c>
      <c r="T24" s="4">
        <f t="shared" si="6"/>
        <v>1415</v>
      </c>
      <c r="U24" s="14">
        <v>5731</v>
      </c>
      <c r="V24" s="5">
        <f t="shared" si="7"/>
        <v>0.98453873904827349</v>
      </c>
      <c r="W24" s="8">
        <v>5925</v>
      </c>
      <c r="X24" s="7">
        <v>4667</v>
      </c>
      <c r="Y24" s="4">
        <f t="shared" si="8"/>
        <v>1137</v>
      </c>
      <c r="Z24" s="14">
        <v>5804</v>
      </c>
      <c r="AA24" s="5">
        <f t="shared" si="9"/>
        <v>0.97957805907173001</v>
      </c>
      <c r="AB24" s="8">
        <v>6940</v>
      </c>
      <c r="AC24" s="7">
        <v>5348</v>
      </c>
      <c r="AD24" s="4">
        <f t="shared" si="10"/>
        <v>1450</v>
      </c>
      <c r="AE24" s="14">
        <v>6798</v>
      </c>
      <c r="AF24" s="5">
        <f t="shared" si="11"/>
        <v>0.97953890489913542</v>
      </c>
      <c r="AG24" s="8">
        <v>6076</v>
      </c>
      <c r="AH24" s="7">
        <v>4619</v>
      </c>
      <c r="AI24" s="4">
        <f t="shared" si="12"/>
        <v>1327</v>
      </c>
      <c r="AJ24" s="14">
        <v>5946</v>
      </c>
      <c r="AK24" s="5">
        <f t="shared" si="13"/>
        <v>0.97860434496379201</v>
      </c>
      <c r="AL24" s="8">
        <v>6181</v>
      </c>
      <c r="AM24" s="7">
        <v>4732</v>
      </c>
      <c r="AN24" s="4">
        <f t="shared" si="14"/>
        <v>1274</v>
      </c>
      <c r="AO24" s="14">
        <v>6006</v>
      </c>
      <c r="AP24" s="5">
        <f t="shared" si="15"/>
        <v>0.9716874292185731</v>
      </c>
      <c r="AQ24" s="8">
        <v>6974</v>
      </c>
      <c r="AR24" s="7">
        <v>5406</v>
      </c>
      <c r="AS24" s="4">
        <f t="shared" si="16"/>
        <v>1488</v>
      </c>
      <c r="AT24" s="14">
        <v>6894</v>
      </c>
      <c r="AU24" s="5">
        <f t="shared" si="17"/>
        <v>0.9885288213363923</v>
      </c>
      <c r="AV24" s="8">
        <v>6124</v>
      </c>
      <c r="AW24" s="7">
        <v>4685</v>
      </c>
      <c r="AX24" s="4">
        <f t="shared" si="18"/>
        <v>1353</v>
      </c>
      <c r="AY24" s="14">
        <v>6038</v>
      </c>
      <c r="AZ24" s="5">
        <f t="shared" si="19"/>
        <v>0.98595689092096672</v>
      </c>
      <c r="BA24" s="8">
        <v>6202</v>
      </c>
      <c r="BB24" s="7">
        <v>4800</v>
      </c>
      <c r="BC24" s="4">
        <f t="shared" si="20"/>
        <v>1328</v>
      </c>
      <c r="BD24" s="14">
        <v>6128</v>
      </c>
      <c r="BE24" s="5">
        <f t="shared" si="21"/>
        <v>0.98806836504353435</v>
      </c>
      <c r="BF24" s="8">
        <v>7084</v>
      </c>
      <c r="BG24" s="7">
        <v>5276</v>
      </c>
      <c r="BH24" s="4">
        <f t="shared" si="22"/>
        <v>1743</v>
      </c>
      <c r="BI24" s="14">
        <v>7019</v>
      </c>
      <c r="BJ24" s="5">
        <f t="shared" si="23"/>
        <v>0.99082439299830605</v>
      </c>
    </row>
    <row r="25" spans="1:62" x14ac:dyDescent="0.3">
      <c r="A25" s="19">
        <v>16</v>
      </c>
      <c r="B25" s="3" t="s">
        <v>21</v>
      </c>
      <c r="C25" s="8">
        <v>18284</v>
      </c>
      <c r="D25" s="7">
        <v>14822</v>
      </c>
      <c r="E25" s="4">
        <f t="shared" si="0"/>
        <v>3659</v>
      </c>
      <c r="F25" s="14">
        <v>18481</v>
      </c>
      <c r="G25" s="5">
        <f t="shared" si="1"/>
        <v>1.0107744476044629</v>
      </c>
      <c r="H25" s="8">
        <v>18682</v>
      </c>
      <c r="I25" s="7">
        <v>15210</v>
      </c>
      <c r="J25" s="4">
        <f t="shared" si="2"/>
        <v>3632</v>
      </c>
      <c r="K25" s="14">
        <v>18842</v>
      </c>
      <c r="L25" s="5">
        <f t="shared" si="3"/>
        <v>1.0085643935338828</v>
      </c>
      <c r="M25" s="8">
        <v>25970</v>
      </c>
      <c r="N25" s="7">
        <v>21501</v>
      </c>
      <c r="O25" s="4">
        <f t="shared" si="4"/>
        <v>4715</v>
      </c>
      <c r="P25" s="14">
        <v>26216</v>
      </c>
      <c r="Q25" s="5">
        <f t="shared" si="5"/>
        <v>1.009472468232576</v>
      </c>
      <c r="R25" s="8">
        <v>18895</v>
      </c>
      <c r="S25" s="7">
        <v>15323</v>
      </c>
      <c r="T25" s="4">
        <f t="shared" si="6"/>
        <v>3724</v>
      </c>
      <c r="U25" s="14">
        <v>19047</v>
      </c>
      <c r="V25" s="5">
        <f t="shared" si="7"/>
        <v>1.0080444562053454</v>
      </c>
      <c r="W25" s="8">
        <v>19436</v>
      </c>
      <c r="X25" s="7">
        <v>15553</v>
      </c>
      <c r="Y25" s="4">
        <f t="shared" si="8"/>
        <v>3755</v>
      </c>
      <c r="Z25" s="14">
        <v>19308</v>
      </c>
      <c r="AA25" s="5">
        <f t="shared" si="9"/>
        <v>0.99341428277423338</v>
      </c>
      <c r="AB25" s="8">
        <v>26661</v>
      </c>
      <c r="AC25" s="7">
        <v>21597</v>
      </c>
      <c r="AD25" s="4">
        <f t="shared" si="10"/>
        <v>5227</v>
      </c>
      <c r="AE25" s="14">
        <v>26824</v>
      </c>
      <c r="AF25" s="5">
        <f t="shared" si="11"/>
        <v>1.0061137991823264</v>
      </c>
      <c r="AG25" s="8">
        <v>19440</v>
      </c>
      <c r="AH25" s="7">
        <v>15278</v>
      </c>
      <c r="AI25" s="4">
        <f t="shared" si="12"/>
        <v>4224</v>
      </c>
      <c r="AJ25" s="14">
        <v>19502</v>
      </c>
      <c r="AK25" s="5">
        <f t="shared" si="13"/>
        <v>1.0031893004115227</v>
      </c>
      <c r="AL25" s="8">
        <v>19709</v>
      </c>
      <c r="AM25" s="7">
        <v>15980</v>
      </c>
      <c r="AN25" s="4">
        <f t="shared" si="14"/>
        <v>3685</v>
      </c>
      <c r="AO25" s="14">
        <v>19665</v>
      </c>
      <c r="AP25" s="5">
        <f t="shared" si="15"/>
        <v>0.99776751737784763</v>
      </c>
      <c r="AQ25" s="8">
        <v>27081</v>
      </c>
      <c r="AR25" s="7">
        <v>22194</v>
      </c>
      <c r="AS25" s="4">
        <f t="shared" si="16"/>
        <v>5061</v>
      </c>
      <c r="AT25" s="14">
        <v>27255</v>
      </c>
      <c r="AU25" s="5">
        <f t="shared" si="17"/>
        <v>1.0064251689376316</v>
      </c>
      <c r="AV25" s="8">
        <v>19795</v>
      </c>
      <c r="AW25" s="7">
        <v>15943</v>
      </c>
      <c r="AX25" s="4">
        <f t="shared" si="18"/>
        <v>3969</v>
      </c>
      <c r="AY25" s="14">
        <v>19912</v>
      </c>
      <c r="AZ25" s="5">
        <f t="shared" si="19"/>
        <v>1.005910583480677</v>
      </c>
      <c r="BA25" s="8">
        <v>20139</v>
      </c>
      <c r="BB25" s="7">
        <v>16274</v>
      </c>
      <c r="BC25" s="4">
        <f t="shared" si="20"/>
        <v>3835</v>
      </c>
      <c r="BD25" s="14">
        <v>20109</v>
      </c>
      <c r="BE25" s="5">
        <f t="shared" si="21"/>
        <v>0.99851035304632807</v>
      </c>
      <c r="BF25" s="8">
        <v>27639</v>
      </c>
      <c r="BG25" s="7">
        <v>20238</v>
      </c>
      <c r="BH25" s="4">
        <f t="shared" si="22"/>
        <v>7497</v>
      </c>
      <c r="BI25" s="14">
        <v>27735</v>
      </c>
      <c r="BJ25" s="5">
        <f t="shared" si="23"/>
        <v>1.0034733528709432</v>
      </c>
    </row>
    <row r="26" spans="1:62" x14ac:dyDescent="0.3">
      <c r="A26" s="19">
        <v>17</v>
      </c>
      <c r="B26" s="3" t="s">
        <v>22</v>
      </c>
      <c r="C26" s="8">
        <v>13535</v>
      </c>
      <c r="D26" s="7">
        <v>9900</v>
      </c>
      <c r="E26" s="4">
        <f t="shared" si="0"/>
        <v>3459</v>
      </c>
      <c r="F26" s="14">
        <v>13359</v>
      </c>
      <c r="G26" s="5">
        <f t="shared" si="1"/>
        <v>0.98699667528629476</v>
      </c>
      <c r="H26" s="8">
        <v>13884</v>
      </c>
      <c r="I26" s="7">
        <v>10628</v>
      </c>
      <c r="J26" s="4">
        <f t="shared" si="2"/>
        <v>3302</v>
      </c>
      <c r="K26" s="14">
        <v>13930</v>
      </c>
      <c r="L26" s="5">
        <f t="shared" si="3"/>
        <v>1.0033131662345145</v>
      </c>
      <c r="M26" s="8">
        <v>25920</v>
      </c>
      <c r="N26" s="7">
        <v>21161</v>
      </c>
      <c r="O26" s="4">
        <f t="shared" si="4"/>
        <v>5124</v>
      </c>
      <c r="P26" s="14">
        <v>26285</v>
      </c>
      <c r="Q26" s="5">
        <f t="shared" si="5"/>
        <v>1.0140817901234569</v>
      </c>
      <c r="R26" s="8">
        <v>13869</v>
      </c>
      <c r="S26" s="7">
        <v>10461</v>
      </c>
      <c r="T26" s="4">
        <f t="shared" si="6"/>
        <v>3697</v>
      </c>
      <c r="U26" s="14">
        <v>14158</v>
      </c>
      <c r="V26" s="5">
        <f t="shared" si="7"/>
        <v>1.0208378397865743</v>
      </c>
      <c r="W26" s="8">
        <v>14474</v>
      </c>
      <c r="X26" s="7">
        <v>11045</v>
      </c>
      <c r="Y26" s="4">
        <f t="shared" si="8"/>
        <v>3376</v>
      </c>
      <c r="Z26" s="14">
        <v>14421</v>
      </c>
      <c r="AA26" s="5">
        <f t="shared" si="9"/>
        <v>0.99633826171065354</v>
      </c>
      <c r="AB26" s="8">
        <v>27035</v>
      </c>
      <c r="AC26" s="7">
        <v>21338</v>
      </c>
      <c r="AD26" s="4">
        <f t="shared" si="10"/>
        <v>5614</v>
      </c>
      <c r="AE26" s="14">
        <v>26952</v>
      </c>
      <c r="AF26" s="5">
        <f t="shared" si="11"/>
        <v>0.99692990567782502</v>
      </c>
      <c r="AG26" s="8">
        <v>14053</v>
      </c>
      <c r="AH26" s="7">
        <v>10721</v>
      </c>
      <c r="AI26" s="4">
        <f t="shared" si="12"/>
        <v>3361</v>
      </c>
      <c r="AJ26" s="14">
        <v>14082</v>
      </c>
      <c r="AK26" s="5">
        <f t="shared" si="13"/>
        <v>1.0020636163096848</v>
      </c>
      <c r="AL26" s="8">
        <v>14372</v>
      </c>
      <c r="AM26" s="7">
        <v>11084</v>
      </c>
      <c r="AN26" s="4">
        <f t="shared" si="14"/>
        <v>3126</v>
      </c>
      <c r="AO26" s="14">
        <v>14210</v>
      </c>
      <c r="AP26" s="5">
        <f t="shared" si="15"/>
        <v>0.98872808238241028</v>
      </c>
      <c r="AQ26" s="8">
        <v>27267</v>
      </c>
      <c r="AR26" s="7">
        <v>21693</v>
      </c>
      <c r="AS26" s="4">
        <f t="shared" si="16"/>
        <v>5359</v>
      </c>
      <c r="AT26" s="14">
        <v>27052</v>
      </c>
      <c r="AU26" s="5">
        <f t="shared" si="17"/>
        <v>0.9921150108189386</v>
      </c>
      <c r="AV26" s="8">
        <v>14007</v>
      </c>
      <c r="AW26" s="7">
        <v>10884</v>
      </c>
      <c r="AX26" s="4">
        <f t="shared" si="18"/>
        <v>3119</v>
      </c>
      <c r="AY26" s="14">
        <v>14003</v>
      </c>
      <c r="AZ26" s="5">
        <f t="shared" si="19"/>
        <v>0.99971442850003567</v>
      </c>
      <c r="BA26" s="8">
        <v>14398</v>
      </c>
      <c r="BB26" s="7">
        <v>11052</v>
      </c>
      <c r="BC26" s="4">
        <f t="shared" si="20"/>
        <v>3032</v>
      </c>
      <c r="BD26" s="14">
        <v>14084</v>
      </c>
      <c r="BE26" s="5">
        <f t="shared" si="21"/>
        <v>0.9781914154743715</v>
      </c>
      <c r="BF26" s="8">
        <v>27339</v>
      </c>
      <c r="BG26" s="7">
        <v>20476</v>
      </c>
      <c r="BH26" s="4">
        <f t="shared" si="22"/>
        <v>6589</v>
      </c>
      <c r="BI26" s="14">
        <v>27065</v>
      </c>
      <c r="BJ26" s="5">
        <f t="shared" si="23"/>
        <v>0.98997768755258053</v>
      </c>
    </row>
    <row r="27" spans="1:62" x14ac:dyDescent="0.3">
      <c r="A27" s="19">
        <v>18</v>
      </c>
      <c r="B27" s="3" t="s">
        <v>23</v>
      </c>
      <c r="C27" s="8">
        <v>120482</v>
      </c>
      <c r="D27" s="7">
        <v>86077</v>
      </c>
      <c r="E27" s="4">
        <f t="shared" si="0"/>
        <v>34586</v>
      </c>
      <c r="F27" s="14">
        <v>120663</v>
      </c>
      <c r="G27" s="5">
        <f t="shared" si="1"/>
        <v>1.0015022990986204</v>
      </c>
      <c r="H27" s="8">
        <v>123649</v>
      </c>
      <c r="I27" s="7">
        <v>90102</v>
      </c>
      <c r="J27" s="4">
        <f t="shared" si="2"/>
        <v>32402</v>
      </c>
      <c r="K27" s="14">
        <v>122504</v>
      </c>
      <c r="L27" s="5">
        <f t="shared" si="3"/>
        <v>0.99073991702318664</v>
      </c>
      <c r="M27" s="8">
        <v>182121</v>
      </c>
      <c r="N27" s="7">
        <v>133491</v>
      </c>
      <c r="O27" s="4">
        <f t="shared" si="4"/>
        <v>47392</v>
      </c>
      <c r="P27" s="14">
        <v>180883</v>
      </c>
      <c r="Q27" s="5">
        <f t="shared" si="5"/>
        <v>0.99320232153348598</v>
      </c>
      <c r="R27" s="8">
        <v>122848</v>
      </c>
      <c r="S27" s="7">
        <v>88229</v>
      </c>
      <c r="T27" s="4">
        <f t="shared" si="6"/>
        <v>33775</v>
      </c>
      <c r="U27" s="14">
        <v>122004</v>
      </c>
      <c r="V27" s="5">
        <f t="shared" si="7"/>
        <v>0.99312972128158372</v>
      </c>
      <c r="W27" s="8">
        <v>125846</v>
      </c>
      <c r="X27" s="7">
        <v>88448</v>
      </c>
      <c r="Y27" s="4">
        <f t="shared" si="8"/>
        <v>34831</v>
      </c>
      <c r="Z27" s="14">
        <v>123279</v>
      </c>
      <c r="AA27" s="5">
        <f t="shared" si="9"/>
        <v>0.97960205330324368</v>
      </c>
      <c r="AB27" s="8">
        <v>184102</v>
      </c>
      <c r="AC27" s="7">
        <v>132582</v>
      </c>
      <c r="AD27" s="4">
        <f t="shared" si="10"/>
        <v>49995</v>
      </c>
      <c r="AE27" s="14">
        <v>182577</v>
      </c>
      <c r="AF27" s="5">
        <f t="shared" si="11"/>
        <v>0.99171654843510659</v>
      </c>
      <c r="AG27" s="8">
        <v>124176</v>
      </c>
      <c r="AH27" s="7">
        <v>88617</v>
      </c>
      <c r="AI27" s="4">
        <f t="shared" si="12"/>
        <v>34505</v>
      </c>
      <c r="AJ27" s="14">
        <v>123122</v>
      </c>
      <c r="AK27" s="5">
        <f t="shared" si="13"/>
        <v>0.99151204741657006</v>
      </c>
      <c r="AL27" s="8">
        <v>126536</v>
      </c>
      <c r="AM27" s="7">
        <v>92194</v>
      </c>
      <c r="AN27" s="4">
        <f t="shared" si="14"/>
        <v>31768</v>
      </c>
      <c r="AO27" s="14">
        <v>123962</v>
      </c>
      <c r="AP27" s="5">
        <f t="shared" si="15"/>
        <v>0.97965796295125496</v>
      </c>
      <c r="AQ27" s="8">
        <v>184835</v>
      </c>
      <c r="AR27" s="7">
        <v>136839</v>
      </c>
      <c r="AS27" s="4">
        <f t="shared" si="16"/>
        <v>47303</v>
      </c>
      <c r="AT27" s="14">
        <v>184142</v>
      </c>
      <c r="AU27" s="5">
        <f t="shared" si="17"/>
        <v>0.99625071009278543</v>
      </c>
      <c r="AV27" s="8">
        <v>124975</v>
      </c>
      <c r="AW27" s="7">
        <v>92540</v>
      </c>
      <c r="AX27" s="4">
        <f t="shared" si="18"/>
        <v>31701</v>
      </c>
      <c r="AY27" s="14">
        <v>124241</v>
      </c>
      <c r="AZ27" s="5">
        <f t="shared" si="19"/>
        <v>0.99412682536507302</v>
      </c>
      <c r="BA27" s="8">
        <v>127493</v>
      </c>
      <c r="BB27" s="7">
        <v>94281</v>
      </c>
      <c r="BC27" s="4">
        <f t="shared" si="20"/>
        <v>30996</v>
      </c>
      <c r="BD27" s="14">
        <v>125277</v>
      </c>
      <c r="BE27" s="5">
        <f t="shared" si="21"/>
        <v>0.98261865357313738</v>
      </c>
      <c r="BF27" s="8">
        <v>187636</v>
      </c>
      <c r="BG27" s="7">
        <v>122553</v>
      </c>
      <c r="BH27" s="4">
        <f t="shared" si="22"/>
        <v>62909</v>
      </c>
      <c r="BI27" s="14">
        <v>185462</v>
      </c>
      <c r="BJ27" s="5">
        <f t="shared" si="23"/>
        <v>0.98841373723592485</v>
      </c>
    </row>
    <row r="28" spans="1:62" x14ac:dyDescent="0.3">
      <c r="A28" s="19">
        <v>19</v>
      </c>
      <c r="B28" s="3" t="s">
        <v>24</v>
      </c>
      <c r="C28" s="8">
        <v>382208</v>
      </c>
      <c r="D28" s="7">
        <v>315442</v>
      </c>
      <c r="E28" s="4">
        <f t="shared" si="0"/>
        <v>64567</v>
      </c>
      <c r="F28" s="14">
        <v>380009</v>
      </c>
      <c r="G28" s="5">
        <f t="shared" si="1"/>
        <v>0.994246588245144</v>
      </c>
      <c r="H28" s="8">
        <v>389922</v>
      </c>
      <c r="I28" s="7">
        <v>321793</v>
      </c>
      <c r="J28" s="4">
        <f t="shared" si="2"/>
        <v>63239</v>
      </c>
      <c r="K28" s="14">
        <v>385032</v>
      </c>
      <c r="L28" s="5">
        <f t="shared" si="3"/>
        <v>0.98745903026759196</v>
      </c>
      <c r="M28" s="8">
        <v>650891</v>
      </c>
      <c r="N28" s="7">
        <v>541073</v>
      </c>
      <c r="O28" s="4">
        <f t="shared" si="4"/>
        <v>104641</v>
      </c>
      <c r="P28" s="14">
        <v>645714</v>
      </c>
      <c r="Q28" s="5">
        <f t="shared" si="5"/>
        <v>0.99204628731999678</v>
      </c>
      <c r="R28" s="8">
        <v>389073</v>
      </c>
      <c r="S28" s="7">
        <v>319004</v>
      </c>
      <c r="T28" s="4">
        <f t="shared" si="6"/>
        <v>67491</v>
      </c>
      <c r="U28" s="14">
        <v>386495</v>
      </c>
      <c r="V28" s="5">
        <f t="shared" si="7"/>
        <v>0.99337399408337257</v>
      </c>
      <c r="W28" s="8">
        <v>397763</v>
      </c>
      <c r="X28" s="7">
        <v>324685</v>
      </c>
      <c r="Y28" s="4">
        <f t="shared" si="8"/>
        <v>66995</v>
      </c>
      <c r="Z28" s="14">
        <v>391680</v>
      </c>
      <c r="AA28" s="5">
        <f t="shared" si="9"/>
        <v>0.98470697375070082</v>
      </c>
      <c r="AB28" s="8">
        <v>660941</v>
      </c>
      <c r="AC28" s="7">
        <v>552565</v>
      </c>
      <c r="AD28" s="4">
        <f t="shared" si="10"/>
        <v>103802</v>
      </c>
      <c r="AE28" s="14">
        <v>656367</v>
      </c>
      <c r="AF28" s="5">
        <f t="shared" si="11"/>
        <v>0.99307956383398821</v>
      </c>
      <c r="AG28" s="8">
        <v>397417</v>
      </c>
      <c r="AH28" s="7">
        <v>326204</v>
      </c>
      <c r="AI28" s="4">
        <f t="shared" si="12"/>
        <v>68335</v>
      </c>
      <c r="AJ28" s="14">
        <v>394539</v>
      </c>
      <c r="AK28" s="5">
        <f t="shared" si="13"/>
        <v>0.99275823631097815</v>
      </c>
      <c r="AL28" s="8">
        <v>405895</v>
      </c>
      <c r="AM28" s="7">
        <v>337795</v>
      </c>
      <c r="AN28" s="4">
        <f t="shared" si="14"/>
        <v>61047</v>
      </c>
      <c r="AO28" s="14">
        <v>398842</v>
      </c>
      <c r="AP28" s="5">
        <f t="shared" si="15"/>
        <v>0.98262358491728152</v>
      </c>
      <c r="AQ28" s="8">
        <v>670091</v>
      </c>
      <c r="AR28" s="7">
        <v>570072</v>
      </c>
      <c r="AS28" s="4">
        <f t="shared" si="16"/>
        <v>95949</v>
      </c>
      <c r="AT28" s="14">
        <v>666021</v>
      </c>
      <c r="AU28" s="5">
        <f t="shared" si="17"/>
        <v>0.99392619808354388</v>
      </c>
      <c r="AV28" s="8">
        <v>405395</v>
      </c>
      <c r="AW28" s="7">
        <v>341800</v>
      </c>
      <c r="AX28" s="4">
        <f t="shared" si="18"/>
        <v>60907</v>
      </c>
      <c r="AY28" s="14">
        <v>402707</v>
      </c>
      <c r="AZ28" s="5">
        <f t="shared" si="19"/>
        <v>0.99336942981536525</v>
      </c>
      <c r="BA28" s="8">
        <v>412255</v>
      </c>
      <c r="BB28" s="7">
        <v>347485</v>
      </c>
      <c r="BC28" s="4">
        <f t="shared" si="20"/>
        <v>59315</v>
      </c>
      <c r="BD28" s="14">
        <v>406800</v>
      </c>
      <c r="BE28" s="5">
        <f t="shared" si="21"/>
        <v>0.98676789850941771</v>
      </c>
      <c r="BF28" s="8">
        <v>680839</v>
      </c>
      <c r="BG28" s="7">
        <v>548909</v>
      </c>
      <c r="BH28" s="4">
        <f t="shared" si="22"/>
        <v>127208</v>
      </c>
      <c r="BI28" s="14">
        <v>676117</v>
      </c>
      <c r="BJ28" s="5">
        <f t="shared" si="23"/>
        <v>0.99306443961053936</v>
      </c>
    </row>
    <row r="29" spans="1:62" x14ac:dyDescent="0.3">
      <c r="A29" s="19">
        <v>20</v>
      </c>
      <c r="B29" s="3" t="s">
        <v>25</v>
      </c>
      <c r="C29" s="8">
        <v>127557</v>
      </c>
      <c r="D29" s="7">
        <v>102140</v>
      </c>
      <c r="E29" s="4">
        <f t="shared" si="0"/>
        <v>24816</v>
      </c>
      <c r="F29" s="14">
        <v>126956</v>
      </c>
      <c r="G29" s="5">
        <f t="shared" si="1"/>
        <v>0.99528838088070426</v>
      </c>
      <c r="H29" s="8">
        <v>129829</v>
      </c>
      <c r="I29" s="7">
        <v>104511</v>
      </c>
      <c r="J29" s="4">
        <f t="shared" si="2"/>
        <v>23846</v>
      </c>
      <c r="K29" s="14">
        <v>128357</v>
      </c>
      <c r="L29" s="5">
        <f t="shared" si="3"/>
        <v>0.98866200925833214</v>
      </c>
      <c r="M29" s="8">
        <v>176637</v>
      </c>
      <c r="N29" s="7">
        <v>143265</v>
      </c>
      <c r="O29" s="4">
        <f t="shared" si="4"/>
        <v>30931</v>
      </c>
      <c r="P29" s="14">
        <v>174196</v>
      </c>
      <c r="Q29" s="5">
        <f t="shared" si="5"/>
        <v>0.98618069826819976</v>
      </c>
      <c r="R29" s="8">
        <v>129740</v>
      </c>
      <c r="S29" s="7">
        <v>104295</v>
      </c>
      <c r="T29" s="4">
        <f t="shared" si="6"/>
        <v>24227</v>
      </c>
      <c r="U29" s="14">
        <v>128522</v>
      </c>
      <c r="V29" s="5">
        <f t="shared" si="7"/>
        <v>0.99061199321720361</v>
      </c>
      <c r="W29" s="8">
        <v>131766</v>
      </c>
      <c r="X29" s="7">
        <v>105762</v>
      </c>
      <c r="Y29" s="4">
        <f t="shared" si="8"/>
        <v>23793</v>
      </c>
      <c r="Z29" s="14">
        <v>129555</v>
      </c>
      <c r="AA29" s="5">
        <f t="shared" si="9"/>
        <v>0.98322025408679026</v>
      </c>
      <c r="AB29" s="8">
        <v>178083</v>
      </c>
      <c r="AC29" s="7">
        <v>143554</v>
      </c>
      <c r="AD29" s="4">
        <f t="shared" si="10"/>
        <v>32770</v>
      </c>
      <c r="AE29" s="14">
        <v>176324</v>
      </c>
      <c r="AF29" s="5">
        <f t="shared" si="11"/>
        <v>0.99012258328981428</v>
      </c>
      <c r="AG29" s="8">
        <v>131984</v>
      </c>
      <c r="AH29" s="7">
        <v>101819</v>
      </c>
      <c r="AI29" s="4">
        <f t="shared" si="12"/>
        <v>28839</v>
      </c>
      <c r="AJ29" s="14">
        <v>130658</v>
      </c>
      <c r="AK29" s="5">
        <f t="shared" si="13"/>
        <v>0.98995332767608191</v>
      </c>
      <c r="AL29" s="8">
        <v>133676</v>
      </c>
      <c r="AM29" s="7">
        <v>108792</v>
      </c>
      <c r="AN29" s="4">
        <f t="shared" si="14"/>
        <v>23014</v>
      </c>
      <c r="AO29" s="14">
        <v>131806</v>
      </c>
      <c r="AP29" s="5">
        <f t="shared" si="15"/>
        <v>0.98601095185373588</v>
      </c>
      <c r="AQ29" s="8">
        <v>179800</v>
      </c>
      <c r="AR29" s="7">
        <v>149130</v>
      </c>
      <c r="AS29" s="4">
        <f t="shared" si="16"/>
        <v>29800</v>
      </c>
      <c r="AT29" s="14">
        <v>178930</v>
      </c>
      <c r="AU29" s="5">
        <f t="shared" si="17"/>
        <v>0.99516129032258061</v>
      </c>
      <c r="AV29" s="8">
        <v>134089</v>
      </c>
      <c r="AW29" s="7">
        <v>110492</v>
      </c>
      <c r="AX29" s="4">
        <f t="shared" si="18"/>
        <v>22636</v>
      </c>
      <c r="AY29" s="14">
        <v>133128</v>
      </c>
      <c r="AZ29" s="5">
        <f t="shared" si="19"/>
        <v>0.99283311830202325</v>
      </c>
      <c r="BA29" s="8">
        <v>136058</v>
      </c>
      <c r="BB29" s="7">
        <v>111463</v>
      </c>
      <c r="BC29" s="4">
        <f t="shared" si="20"/>
        <v>22979</v>
      </c>
      <c r="BD29" s="14">
        <v>134442</v>
      </c>
      <c r="BE29" s="5">
        <f t="shared" si="21"/>
        <v>0.98812271237266458</v>
      </c>
      <c r="BF29" s="8">
        <v>182623</v>
      </c>
      <c r="BG29" s="7">
        <v>139477</v>
      </c>
      <c r="BH29" s="4">
        <f t="shared" si="22"/>
        <v>41886</v>
      </c>
      <c r="BI29" s="14">
        <v>181363</v>
      </c>
      <c r="BJ29" s="5">
        <f t="shared" si="23"/>
        <v>0.99310054045766416</v>
      </c>
    </row>
    <row r="30" spans="1:62" x14ac:dyDescent="0.3">
      <c r="A30" s="19">
        <v>21</v>
      </c>
      <c r="B30" s="3" t="s">
        <v>26</v>
      </c>
      <c r="C30" s="8">
        <v>166894</v>
      </c>
      <c r="D30" s="7">
        <v>127127</v>
      </c>
      <c r="E30" s="4">
        <f t="shared" si="0"/>
        <v>39263</v>
      </c>
      <c r="F30" s="14">
        <v>166390</v>
      </c>
      <c r="G30" s="5">
        <f t="shared" si="1"/>
        <v>0.99698011911752371</v>
      </c>
      <c r="H30" s="8">
        <v>172134</v>
      </c>
      <c r="I30" s="7">
        <v>127881</v>
      </c>
      <c r="J30" s="4">
        <f t="shared" si="2"/>
        <v>41632</v>
      </c>
      <c r="K30" s="14">
        <v>169513</v>
      </c>
      <c r="L30" s="5">
        <f t="shared" si="3"/>
        <v>0.98477349042025397</v>
      </c>
      <c r="M30" s="8">
        <v>289249</v>
      </c>
      <c r="N30" s="7">
        <v>226373</v>
      </c>
      <c r="O30" s="4">
        <f t="shared" si="4"/>
        <v>59621</v>
      </c>
      <c r="P30" s="14">
        <v>285994</v>
      </c>
      <c r="Q30" s="5">
        <f t="shared" si="5"/>
        <v>0.98874671995408803</v>
      </c>
      <c r="R30" s="8">
        <v>169142</v>
      </c>
      <c r="S30" s="7">
        <v>130297</v>
      </c>
      <c r="T30" s="4">
        <f t="shared" si="6"/>
        <v>37526</v>
      </c>
      <c r="U30" s="14">
        <v>167823</v>
      </c>
      <c r="V30" s="5">
        <f t="shared" si="7"/>
        <v>0.99220181859029688</v>
      </c>
      <c r="W30" s="8">
        <v>174259</v>
      </c>
      <c r="X30" s="7">
        <v>129624</v>
      </c>
      <c r="Y30" s="4">
        <f t="shared" si="8"/>
        <v>41336</v>
      </c>
      <c r="Z30" s="14">
        <v>170960</v>
      </c>
      <c r="AA30" s="5">
        <f t="shared" si="9"/>
        <v>0.98106840966607178</v>
      </c>
      <c r="AB30" s="8">
        <v>293307</v>
      </c>
      <c r="AC30" s="7">
        <v>227638</v>
      </c>
      <c r="AD30" s="4">
        <f t="shared" si="10"/>
        <v>62790</v>
      </c>
      <c r="AE30" s="14">
        <v>290428</v>
      </c>
      <c r="AF30" s="5">
        <f t="shared" si="11"/>
        <v>0.99018434609470618</v>
      </c>
      <c r="AG30" s="8">
        <v>172053</v>
      </c>
      <c r="AH30" s="7">
        <v>133185</v>
      </c>
      <c r="AI30" s="4">
        <f t="shared" si="12"/>
        <v>37750</v>
      </c>
      <c r="AJ30" s="14">
        <v>170935</v>
      </c>
      <c r="AK30" s="5">
        <f t="shared" si="13"/>
        <v>0.99350200228999208</v>
      </c>
      <c r="AL30" s="8">
        <v>176835</v>
      </c>
      <c r="AM30" s="7">
        <v>137544</v>
      </c>
      <c r="AN30" s="4">
        <f t="shared" si="14"/>
        <v>36062</v>
      </c>
      <c r="AO30" s="14">
        <v>173606</v>
      </c>
      <c r="AP30" s="5">
        <f t="shared" si="15"/>
        <v>0.98174004015042271</v>
      </c>
      <c r="AQ30" s="8">
        <v>297651</v>
      </c>
      <c r="AR30" s="7">
        <v>238591</v>
      </c>
      <c r="AS30" s="4">
        <f t="shared" si="16"/>
        <v>57543</v>
      </c>
      <c r="AT30" s="14">
        <v>296134</v>
      </c>
      <c r="AU30" s="5">
        <f t="shared" si="17"/>
        <v>0.99490342716805924</v>
      </c>
      <c r="AV30" s="8">
        <v>175428</v>
      </c>
      <c r="AW30" s="7">
        <v>138146</v>
      </c>
      <c r="AX30" s="4">
        <f t="shared" si="18"/>
        <v>36160</v>
      </c>
      <c r="AY30" s="14">
        <v>174306</v>
      </c>
      <c r="AZ30" s="5">
        <f t="shared" si="19"/>
        <v>0.99360421369450713</v>
      </c>
      <c r="BA30" s="8">
        <v>179593</v>
      </c>
      <c r="BB30" s="7">
        <v>140228</v>
      </c>
      <c r="BC30" s="4">
        <f t="shared" si="20"/>
        <v>35940</v>
      </c>
      <c r="BD30" s="14">
        <v>176168</v>
      </c>
      <c r="BE30" s="5">
        <f t="shared" si="21"/>
        <v>0.98092910080014251</v>
      </c>
      <c r="BF30" s="8">
        <v>302258</v>
      </c>
      <c r="BG30" s="7">
        <v>226619</v>
      </c>
      <c r="BH30" s="4">
        <f t="shared" si="22"/>
        <v>72696</v>
      </c>
      <c r="BI30" s="14">
        <v>299315</v>
      </c>
      <c r="BJ30" s="5">
        <f t="shared" si="23"/>
        <v>0.99026328500817185</v>
      </c>
    </row>
    <row r="31" spans="1:62" x14ac:dyDescent="0.3">
      <c r="A31" s="19">
        <v>22</v>
      </c>
      <c r="B31" s="3" t="s">
        <v>27</v>
      </c>
      <c r="C31" s="8">
        <v>74510</v>
      </c>
      <c r="D31" s="7">
        <v>53380</v>
      </c>
      <c r="E31" s="4">
        <f t="shared" si="0"/>
        <v>21209</v>
      </c>
      <c r="F31" s="14">
        <v>74589</v>
      </c>
      <c r="G31" s="5">
        <f t="shared" si="1"/>
        <v>1.0010602603677359</v>
      </c>
      <c r="H31" s="8">
        <v>76671</v>
      </c>
      <c r="I31" s="7">
        <v>55646</v>
      </c>
      <c r="J31" s="4">
        <f t="shared" si="2"/>
        <v>20116</v>
      </c>
      <c r="K31" s="14">
        <v>75762</v>
      </c>
      <c r="L31" s="5">
        <f t="shared" si="3"/>
        <v>0.98814414837422238</v>
      </c>
      <c r="M31" s="8">
        <v>133745</v>
      </c>
      <c r="N31" s="7">
        <v>97867</v>
      </c>
      <c r="O31" s="4">
        <f t="shared" si="4"/>
        <v>35655</v>
      </c>
      <c r="P31" s="14">
        <v>133522</v>
      </c>
      <c r="Q31" s="5">
        <f t="shared" si="5"/>
        <v>0.99833264794945609</v>
      </c>
      <c r="R31" s="8">
        <v>74974</v>
      </c>
      <c r="S31" s="7">
        <v>54415</v>
      </c>
      <c r="T31" s="4">
        <f t="shared" si="6"/>
        <v>20604</v>
      </c>
      <c r="U31" s="14">
        <v>75019</v>
      </c>
      <c r="V31" s="5">
        <f t="shared" si="7"/>
        <v>1.0006002080721317</v>
      </c>
      <c r="W31" s="8">
        <v>77586</v>
      </c>
      <c r="X31" s="7">
        <v>55009</v>
      </c>
      <c r="Y31" s="4">
        <f t="shared" si="8"/>
        <v>21065</v>
      </c>
      <c r="Z31" s="14">
        <v>76074</v>
      </c>
      <c r="AA31" s="5">
        <f t="shared" si="9"/>
        <v>0.98051194803186137</v>
      </c>
      <c r="AB31" s="8">
        <v>135116</v>
      </c>
      <c r="AC31" s="7">
        <v>97955</v>
      </c>
      <c r="AD31" s="4">
        <f t="shared" si="10"/>
        <v>37169</v>
      </c>
      <c r="AE31" s="14">
        <v>135124</v>
      </c>
      <c r="AF31" s="5">
        <f t="shared" si="11"/>
        <v>1.0000592083839073</v>
      </c>
      <c r="AG31" s="8">
        <v>76230</v>
      </c>
      <c r="AH31" s="7">
        <v>53599</v>
      </c>
      <c r="AI31" s="4">
        <f t="shared" si="12"/>
        <v>22374</v>
      </c>
      <c r="AJ31" s="14">
        <v>75973</v>
      </c>
      <c r="AK31" s="5">
        <f t="shared" si="13"/>
        <v>0.99662862390135121</v>
      </c>
      <c r="AL31" s="8">
        <v>77611</v>
      </c>
      <c r="AM31" s="7">
        <v>58314</v>
      </c>
      <c r="AN31" s="4">
        <f t="shared" si="14"/>
        <v>18504</v>
      </c>
      <c r="AO31" s="14">
        <v>76818</v>
      </c>
      <c r="AP31" s="5">
        <f t="shared" si="15"/>
        <v>0.98978237620955789</v>
      </c>
      <c r="AQ31" s="8">
        <v>136879</v>
      </c>
      <c r="AR31" s="7">
        <v>102752</v>
      </c>
      <c r="AS31" s="4">
        <f t="shared" si="16"/>
        <v>34686</v>
      </c>
      <c r="AT31" s="14">
        <v>137438</v>
      </c>
      <c r="AU31" s="5">
        <f t="shared" si="17"/>
        <v>1.0040838989180225</v>
      </c>
      <c r="AV31" s="8">
        <v>76719</v>
      </c>
      <c r="AW31" s="7">
        <v>58861</v>
      </c>
      <c r="AX31" s="4">
        <f t="shared" si="18"/>
        <v>18022</v>
      </c>
      <c r="AY31" s="14">
        <v>76883</v>
      </c>
      <c r="AZ31" s="5">
        <f t="shared" si="19"/>
        <v>1.0021376712418044</v>
      </c>
      <c r="BA31" s="8">
        <v>78720</v>
      </c>
      <c r="BB31" s="7">
        <v>59824</v>
      </c>
      <c r="BC31" s="4">
        <f t="shared" si="20"/>
        <v>18480</v>
      </c>
      <c r="BD31" s="14">
        <v>78304</v>
      </c>
      <c r="BE31" s="5">
        <f t="shared" si="21"/>
        <v>0.99471544715447158</v>
      </c>
      <c r="BF31" s="8">
        <v>140181</v>
      </c>
      <c r="BG31" s="7">
        <v>91989</v>
      </c>
      <c r="BH31" s="4">
        <f t="shared" si="22"/>
        <v>48162</v>
      </c>
      <c r="BI31" s="14">
        <v>140151</v>
      </c>
      <c r="BJ31" s="5">
        <f t="shared" si="23"/>
        <v>0.99978599096881893</v>
      </c>
    </row>
    <row r="32" spans="1:62" x14ac:dyDescent="0.3">
      <c r="A32" s="19">
        <v>23</v>
      </c>
      <c r="B32" s="3" t="s">
        <v>28</v>
      </c>
      <c r="C32" s="8">
        <v>203718</v>
      </c>
      <c r="D32" s="7">
        <v>157993</v>
      </c>
      <c r="E32" s="4">
        <f t="shared" si="0"/>
        <v>45706</v>
      </c>
      <c r="F32" s="14">
        <v>203699</v>
      </c>
      <c r="G32" s="5">
        <f t="shared" si="1"/>
        <v>0.99990673381831752</v>
      </c>
      <c r="H32" s="8">
        <v>210874</v>
      </c>
      <c r="I32" s="7">
        <v>165372</v>
      </c>
      <c r="J32" s="4">
        <f t="shared" si="2"/>
        <v>42703</v>
      </c>
      <c r="K32" s="14">
        <v>208075</v>
      </c>
      <c r="L32" s="5">
        <f t="shared" si="3"/>
        <v>0.9867266709030037</v>
      </c>
      <c r="M32" s="8">
        <v>441035</v>
      </c>
      <c r="N32" s="7">
        <v>344918</v>
      </c>
      <c r="O32" s="4">
        <f t="shared" si="4"/>
        <v>93357</v>
      </c>
      <c r="P32" s="14">
        <v>438275</v>
      </c>
      <c r="Q32" s="5">
        <f t="shared" si="5"/>
        <v>0.99374199326584056</v>
      </c>
      <c r="R32" s="8">
        <v>206418</v>
      </c>
      <c r="S32" s="7">
        <v>161041</v>
      </c>
      <c r="T32" s="4">
        <f t="shared" si="6"/>
        <v>44037</v>
      </c>
      <c r="U32" s="14">
        <v>205078</v>
      </c>
      <c r="V32" s="5">
        <f t="shared" si="7"/>
        <v>0.9935083180730363</v>
      </c>
      <c r="W32" s="8">
        <v>212709</v>
      </c>
      <c r="X32" s="7">
        <v>163187</v>
      </c>
      <c r="Y32" s="4">
        <f t="shared" si="8"/>
        <v>45933</v>
      </c>
      <c r="Z32" s="14">
        <v>209120</v>
      </c>
      <c r="AA32" s="5">
        <f t="shared" si="9"/>
        <v>0.98312718314692848</v>
      </c>
      <c r="AB32" s="8">
        <v>446806</v>
      </c>
      <c r="AC32" s="7">
        <v>347424</v>
      </c>
      <c r="AD32" s="4">
        <f t="shared" si="10"/>
        <v>97465</v>
      </c>
      <c r="AE32" s="14">
        <v>444889</v>
      </c>
      <c r="AF32" s="5">
        <f t="shared" si="11"/>
        <v>0.99570954732031347</v>
      </c>
      <c r="AG32" s="8">
        <v>210129</v>
      </c>
      <c r="AH32" s="7">
        <v>160354</v>
      </c>
      <c r="AI32" s="4">
        <f t="shared" si="12"/>
        <v>49110</v>
      </c>
      <c r="AJ32" s="14">
        <v>209464</v>
      </c>
      <c r="AK32" s="5">
        <f t="shared" si="13"/>
        <v>0.99683527737723021</v>
      </c>
      <c r="AL32" s="8">
        <v>217332</v>
      </c>
      <c r="AM32" s="7">
        <v>172532</v>
      </c>
      <c r="AN32" s="4">
        <f t="shared" si="14"/>
        <v>40311</v>
      </c>
      <c r="AO32" s="14">
        <v>212843</v>
      </c>
      <c r="AP32" s="5">
        <f t="shared" si="15"/>
        <v>0.97934496530653559</v>
      </c>
      <c r="AQ32" s="8">
        <v>453805</v>
      </c>
      <c r="AR32" s="7">
        <v>359519</v>
      </c>
      <c r="AS32" s="4">
        <f t="shared" si="16"/>
        <v>93215</v>
      </c>
      <c r="AT32" s="14">
        <v>452734</v>
      </c>
      <c r="AU32" s="5">
        <f t="shared" si="17"/>
        <v>0.99763995548748907</v>
      </c>
      <c r="AV32" s="8">
        <v>213428</v>
      </c>
      <c r="AW32" s="7">
        <v>173225</v>
      </c>
      <c r="AX32" s="4">
        <f t="shared" si="18"/>
        <v>40140</v>
      </c>
      <c r="AY32" s="14">
        <v>213365</v>
      </c>
      <c r="AZ32" s="5">
        <f t="shared" si="19"/>
        <v>0.99970481848679649</v>
      </c>
      <c r="BA32" s="8">
        <v>220509</v>
      </c>
      <c r="BB32" s="7">
        <v>178242</v>
      </c>
      <c r="BC32" s="4">
        <f t="shared" si="20"/>
        <v>39317</v>
      </c>
      <c r="BD32" s="14">
        <v>217559</v>
      </c>
      <c r="BE32" s="5">
        <f t="shared" si="21"/>
        <v>0.9866218612392238</v>
      </c>
      <c r="BF32" s="8">
        <v>463937</v>
      </c>
      <c r="BG32" s="7">
        <v>333202</v>
      </c>
      <c r="BH32" s="4">
        <f t="shared" si="22"/>
        <v>127704</v>
      </c>
      <c r="BI32" s="14">
        <v>460906</v>
      </c>
      <c r="BJ32" s="5">
        <f t="shared" si="23"/>
        <v>0.99346678536094335</v>
      </c>
    </row>
    <row r="33" spans="1:62" x14ac:dyDescent="0.3">
      <c r="A33" s="19">
        <v>24</v>
      </c>
      <c r="B33" s="3" t="s">
        <v>29</v>
      </c>
      <c r="C33" s="8">
        <v>620995</v>
      </c>
      <c r="D33" s="7">
        <v>549172</v>
      </c>
      <c r="E33" s="4">
        <f t="shared" si="0"/>
        <v>74069</v>
      </c>
      <c r="F33" s="14">
        <v>623241</v>
      </c>
      <c r="G33" s="5">
        <f t="shared" si="1"/>
        <v>1.0036167763025468</v>
      </c>
      <c r="H33" s="8">
        <v>630476</v>
      </c>
      <c r="I33" s="7">
        <v>552312</v>
      </c>
      <c r="J33" s="4">
        <f t="shared" si="2"/>
        <v>78120</v>
      </c>
      <c r="K33" s="14">
        <v>630432</v>
      </c>
      <c r="L33" s="5">
        <f t="shared" si="3"/>
        <v>0.99993021145927841</v>
      </c>
      <c r="M33" s="8">
        <v>1032030</v>
      </c>
      <c r="N33" s="7">
        <v>901361</v>
      </c>
      <c r="O33" s="4">
        <f t="shared" si="4"/>
        <v>130753</v>
      </c>
      <c r="P33" s="14">
        <v>1032114</v>
      </c>
      <c r="Q33" s="5">
        <f t="shared" si="5"/>
        <v>1.0000813929827621</v>
      </c>
      <c r="R33" s="8">
        <v>629419</v>
      </c>
      <c r="S33" s="7">
        <v>550494</v>
      </c>
      <c r="T33" s="4">
        <f t="shared" si="6"/>
        <v>79444</v>
      </c>
      <c r="U33" s="14">
        <v>629938</v>
      </c>
      <c r="V33" s="5">
        <f t="shared" si="7"/>
        <v>1.0008245699605509</v>
      </c>
      <c r="W33" s="8">
        <v>637378</v>
      </c>
      <c r="X33" s="7">
        <v>555109</v>
      </c>
      <c r="Y33" s="4">
        <f t="shared" si="8"/>
        <v>80031</v>
      </c>
      <c r="Z33" s="14">
        <v>635140</v>
      </c>
      <c r="AA33" s="5">
        <f t="shared" si="9"/>
        <v>0.99648873980589225</v>
      </c>
      <c r="AB33" s="8">
        <v>1041984</v>
      </c>
      <c r="AC33" s="7">
        <v>899855</v>
      </c>
      <c r="AD33" s="4">
        <f t="shared" si="10"/>
        <v>142355</v>
      </c>
      <c r="AE33" s="14">
        <v>1042210</v>
      </c>
      <c r="AF33" s="5">
        <f t="shared" si="11"/>
        <v>1.0002168939254346</v>
      </c>
      <c r="AG33" s="8">
        <v>638215</v>
      </c>
      <c r="AH33" s="7">
        <v>522882</v>
      </c>
      <c r="AI33" s="4">
        <f t="shared" si="12"/>
        <v>115941</v>
      </c>
      <c r="AJ33" s="14">
        <v>638823</v>
      </c>
      <c r="AK33" s="5">
        <f t="shared" si="13"/>
        <v>1.0009526570199698</v>
      </c>
      <c r="AL33" s="8">
        <v>645318</v>
      </c>
      <c r="AM33" s="7">
        <v>567153</v>
      </c>
      <c r="AN33" s="4">
        <f t="shared" si="14"/>
        <v>75236</v>
      </c>
      <c r="AO33" s="14">
        <v>642389</v>
      </c>
      <c r="AP33" s="5">
        <f t="shared" si="15"/>
        <v>0.99546115248606115</v>
      </c>
      <c r="AQ33" s="8">
        <v>1053133</v>
      </c>
      <c r="AR33" s="7">
        <v>918586</v>
      </c>
      <c r="AS33" s="4">
        <f t="shared" si="16"/>
        <v>135389</v>
      </c>
      <c r="AT33" s="14">
        <v>1053975</v>
      </c>
      <c r="AU33" s="5">
        <f t="shared" si="17"/>
        <v>1.0007995191490533</v>
      </c>
      <c r="AV33" s="8">
        <v>647979</v>
      </c>
      <c r="AW33" s="7">
        <v>580247</v>
      </c>
      <c r="AX33" s="4">
        <f t="shared" si="18"/>
        <v>69667</v>
      </c>
      <c r="AY33" s="14">
        <v>649914</v>
      </c>
      <c r="AZ33" s="5">
        <f t="shared" si="19"/>
        <v>1.0029862078863667</v>
      </c>
      <c r="BA33" s="8">
        <v>657743</v>
      </c>
      <c r="BB33" s="7">
        <v>592067</v>
      </c>
      <c r="BC33" s="4">
        <f t="shared" si="20"/>
        <v>65915</v>
      </c>
      <c r="BD33" s="14">
        <v>657982</v>
      </c>
      <c r="BE33" s="5">
        <f t="shared" si="21"/>
        <v>1.0003633638062284</v>
      </c>
      <c r="BF33" s="8">
        <v>1071541</v>
      </c>
      <c r="BG33" s="7">
        <v>917244</v>
      </c>
      <c r="BH33" s="4">
        <f t="shared" si="22"/>
        <v>153788</v>
      </c>
      <c r="BI33" s="14">
        <v>1071032</v>
      </c>
      <c r="BJ33" s="5">
        <f t="shared" si="23"/>
        <v>0.99952498317843186</v>
      </c>
    </row>
    <row r="34" spans="1:62" x14ac:dyDescent="0.3">
      <c r="A34" s="19">
        <v>25</v>
      </c>
      <c r="B34" s="3" t="s">
        <v>30</v>
      </c>
      <c r="C34" s="15">
        <v>0</v>
      </c>
      <c r="D34" s="15">
        <v>0</v>
      </c>
      <c r="E34" s="15" t="s">
        <v>47</v>
      </c>
      <c r="F34" s="15">
        <v>0</v>
      </c>
      <c r="G34" s="15" t="s">
        <v>47</v>
      </c>
      <c r="H34" s="15">
        <v>0</v>
      </c>
      <c r="I34" s="15">
        <v>0</v>
      </c>
      <c r="J34" s="15" t="s">
        <v>47</v>
      </c>
      <c r="K34" s="15">
        <v>0</v>
      </c>
      <c r="L34" s="15" t="s">
        <v>47</v>
      </c>
      <c r="M34" s="15">
        <v>0</v>
      </c>
      <c r="N34" s="15">
        <v>0</v>
      </c>
      <c r="O34" s="15" t="s">
        <v>47</v>
      </c>
      <c r="P34" s="15">
        <v>0</v>
      </c>
      <c r="Q34" s="15" t="s">
        <v>47</v>
      </c>
      <c r="R34" s="15">
        <v>0</v>
      </c>
      <c r="S34" s="15">
        <v>0</v>
      </c>
      <c r="T34" s="15" t="s">
        <v>47</v>
      </c>
      <c r="U34" s="15">
        <v>0</v>
      </c>
      <c r="V34" s="15" t="s">
        <v>47</v>
      </c>
      <c r="W34" s="15">
        <v>0</v>
      </c>
      <c r="X34" s="15">
        <v>0</v>
      </c>
      <c r="Y34" s="15" t="s">
        <v>47</v>
      </c>
      <c r="Z34" s="15">
        <v>0</v>
      </c>
      <c r="AA34" s="15" t="s">
        <v>47</v>
      </c>
      <c r="AB34" s="15">
        <v>0</v>
      </c>
      <c r="AC34" s="15">
        <v>0</v>
      </c>
      <c r="AD34" s="15" t="s">
        <v>47</v>
      </c>
      <c r="AE34" s="15">
        <v>0</v>
      </c>
      <c r="AF34" s="15" t="s">
        <v>47</v>
      </c>
      <c r="AG34" s="15">
        <v>0</v>
      </c>
      <c r="AH34" s="15">
        <v>0</v>
      </c>
      <c r="AI34" s="15" t="s">
        <v>47</v>
      </c>
      <c r="AJ34" s="15">
        <v>0</v>
      </c>
      <c r="AK34" s="15" t="s">
        <v>47</v>
      </c>
      <c r="AL34" s="15">
        <v>0</v>
      </c>
      <c r="AM34" s="15">
        <v>0</v>
      </c>
      <c r="AN34" s="15" t="s">
        <v>47</v>
      </c>
      <c r="AO34" s="15">
        <v>1</v>
      </c>
      <c r="AP34" s="15" t="s">
        <v>47</v>
      </c>
      <c r="AQ34" s="15">
        <v>1</v>
      </c>
      <c r="AR34" s="15">
        <v>0</v>
      </c>
      <c r="AS34" s="15" t="s">
        <v>47</v>
      </c>
      <c r="AT34" s="15">
        <v>0</v>
      </c>
      <c r="AU34" s="15" t="s">
        <v>47</v>
      </c>
      <c r="AV34" s="15">
        <v>1</v>
      </c>
      <c r="AW34" s="15">
        <v>0</v>
      </c>
      <c r="AX34" s="15" t="s">
        <v>47</v>
      </c>
      <c r="AY34" s="15">
        <v>0</v>
      </c>
      <c r="AZ34" s="15" t="s">
        <v>47</v>
      </c>
      <c r="BA34" s="15">
        <v>1</v>
      </c>
      <c r="BB34" s="15">
        <v>0</v>
      </c>
      <c r="BC34" s="15" t="s">
        <v>47</v>
      </c>
      <c r="BD34" s="15">
        <v>0</v>
      </c>
      <c r="BE34" s="15" t="s">
        <v>47</v>
      </c>
      <c r="BF34" s="15">
        <v>1</v>
      </c>
      <c r="BG34" s="15">
        <v>0</v>
      </c>
      <c r="BH34" s="15" t="s">
        <v>47</v>
      </c>
      <c r="BI34" s="15">
        <v>0</v>
      </c>
      <c r="BJ34" s="15" t="s">
        <v>47</v>
      </c>
    </row>
    <row r="35" spans="1:62" x14ac:dyDescent="0.3">
      <c r="A35" s="19">
        <v>26</v>
      </c>
      <c r="B35" s="3" t="s">
        <v>31</v>
      </c>
      <c r="C35" s="8">
        <v>11569</v>
      </c>
      <c r="D35" s="7">
        <v>9463</v>
      </c>
      <c r="E35" s="4">
        <f t="shared" si="0"/>
        <v>2118</v>
      </c>
      <c r="F35" s="14">
        <v>11581</v>
      </c>
      <c r="G35" s="5">
        <f t="shared" ref="G35:G47" si="24">F35/C35</f>
        <v>1.0010372547324746</v>
      </c>
      <c r="H35" s="8">
        <v>11660</v>
      </c>
      <c r="I35" s="7">
        <v>9469</v>
      </c>
      <c r="J35" s="4">
        <f t="shared" ref="J35:J48" si="25">K35-I35</f>
        <v>2137</v>
      </c>
      <c r="K35" s="14">
        <v>11606</v>
      </c>
      <c r="L35" s="5">
        <f t="shared" ref="L35:L48" si="26">K35/H35</f>
        <v>0.99536878216123503</v>
      </c>
      <c r="M35" s="8">
        <v>14448</v>
      </c>
      <c r="N35" s="7">
        <v>11691</v>
      </c>
      <c r="O35" s="4">
        <f t="shared" ref="O35:O48" si="27">P35-N35</f>
        <v>2722</v>
      </c>
      <c r="P35" s="14">
        <v>14413</v>
      </c>
      <c r="Q35" s="5">
        <f t="shared" ref="Q35:Q48" si="28">P35/M35</f>
        <v>0.99757751937984496</v>
      </c>
      <c r="R35" s="8">
        <v>11629</v>
      </c>
      <c r="S35" s="7">
        <v>9289</v>
      </c>
      <c r="T35" s="4">
        <f t="shared" ref="T35:T47" si="29">U35-S35</f>
        <v>2334</v>
      </c>
      <c r="U35" s="14">
        <v>11623</v>
      </c>
      <c r="V35" s="5">
        <f t="shared" ref="V35:V48" si="30">U35/R35</f>
        <v>0.99948404849944106</v>
      </c>
      <c r="W35" s="8">
        <v>11769</v>
      </c>
      <c r="X35" s="7">
        <v>9270</v>
      </c>
      <c r="Y35" s="4">
        <f t="shared" ref="Y35:Y48" si="31">Z35-X35</f>
        <v>2389</v>
      </c>
      <c r="Z35" s="14">
        <v>11659</v>
      </c>
      <c r="AA35" s="5">
        <f t="shared" ref="AA35:AA48" si="32">Z35/W35</f>
        <v>0.9906534115048008</v>
      </c>
      <c r="AB35" s="8">
        <v>14510</v>
      </c>
      <c r="AC35" s="7">
        <v>11613</v>
      </c>
      <c r="AD35" s="4">
        <f t="shared" ref="AD35:AD48" si="33">AE35-AC35</f>
        <v>2876</v>
      </c>
      <c r="AE35" s="14">
        <v>14489</v>
      </c>
      <c r="AF35" s="5">
        <f t="shared" ref="AF35:AF48" si="34">AE35/AB35</f>
        <v>0.99855272226050995</v>
      </c>
      <c r="AG35" s="8">
        <v>11749</v>
      </c>
      <c r="AH35" s="7">
        <v>9182</v>
      </c>
      <c r="AI35" s="4">
        <f t="shared" ref="AI35:AI48" si="35">AJ35-AH35</f>
        <v>2546</v>
      </c>
      <c r="AJ35" s="14">
        <v>11728</v>
      </c>
      <c r="AK35" s="5">
        <f t="shared" ref="AK35:AK48" si="36">AJ35/AG35</f>
        <v>0.99821261383947568</v>
      </c>
      <c r="AL35" s="8">
        <v>11839</v>
      </c>
      <c r="AM35" s="7">
        <v>9646</v>
      </c>
      <c r="AN35" s="4">
        <f t="shared" ref="AN35:AN48" si="37">AO35-AM35</f>
        <v>2112</v>
      </c>
      <c r="AO35" s="14">
        <v>11758</v>
      </c>
      <c r="AP35" s="5">
        <f t="shared" ref="AP35:AP48" si="38">AO35/AL35</f>
        <v>0.99315820592955484</v>
      </c>
      <c r="AQ35" s="8">
        <v>14639</v>
      </c>
      <c r="AR35" s="7">
        <v>11898</v>
      </c>
      <c r="AS35" s="4">
        <f t="shared" ref="AS35:AS48" si="39">AT35-AR35</f>
        <v>2695</v>
      </c>
      <c r="AT35" s="14">
        <v>14593</v>
      </c>
      <c r="AU35" s="5">
        <f t="shared" ref="AU35:AU48" si="40">AT35/AQ35</f>
        <v>0.99685770885989478</v>
      </c>
      <c r="AV35" s="8">
        <v>11843</v>
      </c>
      <c r="AW35" s="7">
        <v>9730</v>
      </c>
      <c r="AX35" s="4">
        <f t="shared" ref="AX35:AX48" si="41">AY35-AW35</f>
        <v>2099</v>
      </c>
      <c r="AY35" s="14">
        <v>11829</v>
      </c>
      <c r="AZ35" s="5">
        <f t="shared" ref="AZ35:AZ48" si="42">AY35/AV35</f>
        <v>0.99881786709448617</v>
      </c>
      <c r="BA35" s="8">
        <v>11921</v>
      </c>
      <c r="BB35" s="7">
        <v>9883</v>
      </c>
      <c r="BC35" s="4">
        <f t="shared" ref="BC35:BC48" si="43">BD35-BB35</f>
        <v>1971</v>
      </c>
      <c r="BD35" s="14">
        <v>11854</v>
      </c>
      <c r="BE35" s="5">
        <f t="shared" ref="BE35:BE48" si="44">BD35/BA35</f>
        <v>0.9943796661353913</v>
      </c>
      <c r="BF35" s="8">
        <v>14735</v>
      </c>
      <c r="BG35" s="7">
        <v>11744</v>
      </c>
      <c r="BH35" s="4">
        <f t="shared" ref="BH35:BH48" si="45">BI35-BG35</f>
        <v>2949</v>
      </c>
      <c r="BI35" s="14">
        <v>14693</v>
      </c>
      <c r="BJ35" s="5">
        <f t="shared" ref="BJ35:BJ48" si="46">BI35/BF35</f>
        <v>0.99714964370546322</v>
      </c>
    </row>
    <row r="36" spans="1:62" x14ac:dyDescent="0.3">
      <c r="A36" s="19">
        <v>27</v>
      </c>
      <c r="B36" s="3" t="s">
        <v>32</v>
      </c>
      <c r="C36" s="8">
        <v>836037</v>
      </c>
      <c r="D36" s="7">
        <v>659178</v>
      </c>
      <c r="E36" s="4">
        <f t="shared" si="0"/>
        <v>175007</v>
      </c>
      <c r="F36" s="14">
        <v>834185</v>
      </c>
      <c r="G36" s="5">
        <f t="shared" si="24"/>
        <v>0.9977847870369374</v>
      </c>
      <c r="H36" s="8">
        <v>854298</v>
      </c>
      <c r="I36" s="7">
        <v>674005</v>
      </c>
      <c r="J36" s="4">
        <f t="shared" si="25"/>
        <v>169994</v>
      </c>
      <c r="K36" s="14">
        <v>843999</v>
      </c>
      <c r="L36" s="5">
        <f t="shared" si="26"/>
        <v>0.98794448775485832</v>
      </c>
      <c r="M36" s="8">
        <v>1510524</v>
      </c>
      <c r="N36" s="7">
        <v>1186998</v>
      </c>
      <c r="O36" s="4">
        <f t="shared" si="27"/>
        <v>313875</v>
      </c>
      <c r="P36" s="14">
        <v>1500873</v>
      </c>
      <c r="Q36" s="5">
        <f t="shared" si="28"/>
        <v>0.99361082644168519</v>
      </c>
      <c r="R36" s="8">
        <v>845008</v>
      </c>
      <c r="S36" s="7">
        <v>662065</v>
      </c>
      <c r="T36" s="4">
        <f t="shared" si="29"/>
        <v>178543</v>
      </c>
      <c r="U36" s="14">
        <v>840608</v>
      </c>
      <c r="V36" s="5">
        <f t="shared" si="30"/>
        <v>0.99479294870581103</v>
      </c>
      <c r="W36" s="8">
        <v>865288</v>
      </c>
      <c r="X36" s="7">
        <v>662910</v>
      </c>
      <c r="Y36" s="4">
        <f t="shared" si="31"/>
        <v>186787</v>
      </c>
      <c r="Z36" s="14">
        <v>849697</v>
      </c>
      <c r="AA36" s="5">
        <f t="shared" si="32"/>
        <v>0.98198172169266185</v>
      </c>
      <c r="AB36" s="8">
        <v>1522408</v>
      </c>
      <c r="AC36" s="7">
        <v>1187346</v>
      </c>
      <c r="AD36" s="4">
        <f t="shared" si="33"/>
        <v>327597</v>
      </c>
      <c r="AE36" s="14">
        <v>1514943</v>
      </c>
      <c r="AF36" s="5">
        <f t="shared" si="34"/>
        <v>0.99509658383298039</v>
      </c>
      <c r="AG36" s="8">
        <v>860909</v>
      </c>
      <c r="AH36" s="7">
        <v>660435</v>
      </c>
      <c r="AI36" s="4">
        <f t="shared" si="35"/>
        <v>196377</v>
      </c>
      <c r="AJ36" s="14">
        <v>856812</v>
      </c>
      <c r="AK36" s="5">
        <f t="shared" si="36"/>
        <v>0.99524107658300698</v>
      </c>
      <c r="AL36" s="8">
        <v>879793</v>
      </c>
      <c r="AM36" s="7">
        <v>704595</v>
      </c>
      <c r="AN36" s="4">
        <f t="shared" si="37"/>
        <v>161936</v>
      </c>
      <c r="AO36" s="14">
        <v>866531</v>
      </c>
      <c r="AP36" s="5">
        <f t="shared" si="38"/>
        <v>0.98492599963855132</v>
      </c>
      <c r="AQ36" s="8">
        <v>1539776</v>
      </c>
      <c r="AR36" s="7">
        <v>1236611</v>
      </c>
      <c r="AS36" s="4">
        <f t="shared" si="39"/>
        <v>299887</v>
      </c>
      <c r="AT36" s="14">
        <v>1536498</v>
      </c>
      <c r="AU36" s="5">
        <f t="shared" si="40"/>
        <v>0.99787111891599822</v>
      </c>
      <c r="AV36" s="8">
        <v>875330</v>
      </c>
      <c r="AW36" s="7">
        <v>712837</v>
      </c>
      <c r="AX36" s="4">
        <f t="shared" si="41"/>
        <v>160871</v>
      </c>
      <c r="AY36" s="14">
        <v>873708</v>
      </c>
      <c r="AZ36" s="5">
        <f t="shared" si="42"/>
        <v>0.99814698456582085</v>
      </c>
      <c r="BA36" s="8">
        <v>893595</v>
      </c>
      <c r="BB36" s="7">
        <v>732267</v>
      </c>
      <c r="BC36" s="4">
        <f t="shared" si="43"/>
        <v>151671</v>
      </c>
      <c r="BD36" s="14">
        <v>883938</v>
      </c>
      <c r="BE36" s="5">
        <f t="shared" si="44"/>
        <v>0.98919309082973828</v>
      </c>
      <c r="BF36" s="8">
        <v>1566403</v>
      </c>
      <c r="BG36" s="7">
        <v>1191797</v>
      </c>
      <c r="BH36" s="4">
        <f t="shared" si="45"/>
        <v>365018</v>
      </c>
      <c r="BI36" s="14">
        <v>1556815</v>
      </c>
      <c r="BJ36" s="5">
        <f t="shared" si="46"/>
        <v>0.99387896984364821</v>
      </c>
    </row>
    <row r="37" spans="1:62" x14ac:dyDescent="0.3">
      <c r="A37" s="19">
        <v>29</v>
      </c>
      <c r="B37" s="3" t="s">
        <v>33</v>
      </c>
      <c r="C37" s="8">
        <v>675549</v>
      </c>
      <c r="D37" s="7">
        <v>536439</v>
      </c>
      <c r="E37" s="4">
        <f t="shared" si="0"/>
        <v>131154</v>
      </c>
      <c r="F37" s="14">
        <v>667593</v>
      </c>
      <c r="G37" s="5">
        <f t="shared" si="24"/>
        <v>0.98822291203154766</v>
      </c>
      <c r="H37" s="8">
        <v>681828</v>
      </c>
      <c r="I37" s="7">
        <v>548665</v>
      </c>
      <c r="J37" s="4">
        <f t="shared" si="25"/>
        <v>121604</v>
      </c>
      <c r="K37" s="14">
        <v>670269</v>
      </c>
      <c r="L37" s="5">
        <f t="shared" si="26"/>
        <v>0.98304704412256461</v>
      </c>
      <c r="M37" s="8">
        <v>856106</v>
      </c>
      <c r="N37" s="7">
        <v>692206</v>
      </c>
      <c r="O37" s="4">
        <f t="shared" si="27"/>
        <v>152309</v>
      </c>
      <c r="P37" s="14">
        <v>844515</v>
      </c>
      <c r="Q37" s="5">
        <f t="shared" si="28"/>
        <v>0.98646078873410536</v>
      </c>
      <c r="R37" s="8">
        <v>679636</v>
      </c>
      <c r="S37" s="7">
        <v>541963</v>
      </c>
      <c r="T37" s="4">
        <f t="shared" si="29"/>
        <v>129300</v>
      </c>
      <c r="U37" s="14">
        <v>671263</v>
      </c>
      <c r="V37" s="5">
        <f t="shared" si="30"/>
        <v>0.98768016997333863</v>
      </c>
      <c r="W37" s="8">
        <v>687189</v>
      </c>
      <c r="X37" s="7">
        <v>545134</v>
      </c>
      <c r="Y37" s="4">
        <f t="shared" si="31"/>
        <v>130915</v>
      </c>
      <c r="Z37" s="14">
        <v>676049</v>
      </c>
      <c r="AA37" s="5">
        <f t="shared" si="32"/>
        <v>0.98378903038319876</v>
      </c>
      <c r="AB37" s="8">
        <v>863912</v>
      </c>
      <c r="AC37" s="7">
        <v>690123</v>
      </c>
      <c r="AD37" s="4">
        <f t="shared" si="33"/>
        <v>163529</v>
      </c>
      <c r="AE37" s="14">
        <v>853652</v>
      </c>
      <c r="AF37" s="5">
        <f t="shared" si="34"/>
        <v>0.9881237903860578</v>
      </c>
      <c r="AG37" s="8">
        <v>690763</v>
      </c>
      <c r="AH37" s="7">
        <v>550567</v>
      </c>
      <c r="AI37" s="4">
        <f t="shared" si="35"/>
        <v>131911</v>
      </c>
      <c r="AJ37" s="14">
        <v>682478</v>
      </c>
      <c r="AK37" s="5">
        <f t="shared" si="36"/>
        <v>0.98800601653533848</v>
      </c>
      <c r="AL37" s="8">
        <v>697437</v>
      </c>
      <c r="AM37" s="7">
        <v>571971</v>
      </c>
      <c r="AN37" s="4">
        <f t="shared" si="37"/>
        <v>116101</v>
      </c>
      <c r="AO37" s="14">
        <v>688072</v>
      </c>
      <c r="AP37" s="5">
        <f t="shared" si="38"/>
        <v>0.98657226387472985</v>
      </c>
      <c r="AQ37" s="8">
        <v>873380</v>
      </c>
      <c r="AR37" s="7">
        <v>717289</v>
      </c>
      <c r="AS37" s="4">
        <f t="shared" si="39"/>
        <v>149886</v>
      </c>
      <c r="AT37" s="14">
        <v>867175</v>
      </c>
      <c r="AU37" s="5">
        <f t="shared" si="40"/>
        <v>0.99289541780210222</v>
      </c>
      <c r="AV37" s="8">
        <v>700086</v>
      </c>
      <c r="AW37" s="7">
        <v>577412</v>
      </c>
      <c r="AX37" s="4">
        <f t="shared" si="41"/>
        <v>116997</v>
      </c>
      <c r="AY37" s="14">
        <v>694409</v>
      </c>
      <c r="AZ37" s="5">
        <f t="shared" si="42"/>
        <v>0.99189099624903221</v>
      </c>
      <c r="BA37" s="8">
        <v>708485</v>
      </c>
      <c r="BB37" s="7">
        <v>585872</v>
      </c>
      <c r="BC37" s="4">
        <f t="shared" si="43"/>
        <v>113044</v>
      </c>
      <c r="BD37" s="14">
        <v>698916</v>
      </c>
      <c r="BE37" s="5">
        <f t="shared" si="44"/>
        <v>0.98649371546327724</v>
      </c>
      <c r="BF37" s="8">
        <v>887779</v>
      </c>
      <c r="BG37" s="7">
        <v>689835</v>
      </c>
      <c r="BH37" s="4">
        <f t="shared" si="45"/>
        <v>186431</v>
      </c>
      <c r="BI37" s="14">
        <v>876266</v>
      </c>
      <c r="BJ37" s="5">
        <f t="shared" si="46"/>
        <v>0.98703168243447981</v>
      </c>
    </row>
    <row r="38" spans="1:62" x14ac:dyDescent="0.3">
      <c r="A38" s="19">
        <v>30</v>
      </c>
      <c r="B38" s="3" t="s">
        <v>34</v>
      </c>
      <c r="C38" s="8">
        <v>22737</v>
      </c>
      <c r="D38" s="7">
        <v>16834</v>
      </c>
      <c r="E38" s="4">
        <f t="shared" si="0"/>
        <v>6078</v>
      </c>
      <c r="F38" s="14">
        <v>22912</v>
      </c>
      <c r="G38" s="5">
        <f t="shared" si="24"/>
        <v>1.0076967058099133</v>
      </c>
      <c r="H38" s="8">
        <v>23122</v>
      </c>
      <c r="I38" s="7">
        <v>17364</v>
      </c>
      <c r="J38" s="4">
        <f t="shared" si="25"/>
        <v>5822</v>
      </c>
      <c r="K38" s="14">
        <v>23186</v>
      </c>
      <c r="L38" s="5">
        <f t="shared" si="26"/>
        <v>1.0027679266499439</v>
      </c>
      <c r="M38" s="8">
        <v>35582</v>
      </c>
      <c r="N38" s="7">
        <v>26622</v>
      </c>
      <c r="O38" s="4">
        <f t="shared" si="27"/>
        <v>9156</v>
      </c>
      <c r="P38" s="14">
        <v>35778</v>
      </c>
      <c r="Q38" s="5">
        <f t="shared" si="28"/>
        <v>1.0055084031251758</v>
      </c>
      <c r="R38" s="8">
        <v>22911</v>
      </c>
      <c r="S38" s="7">
        <v>17030</v>
      </c>
      <c r="T38" s="4">
        <f t="shared" si="29"/>
        <v>6106</v>
      </c>
      <c r="U38" s="14">
        <v>23136</v>
      </c>
      <c r="V38" s="5">
        <f t="shared" si="30"/>
        <v>1.0098206101872462</v>
      </c>
      <c r="W38" s="8">
        <v>23450</v>
      </c>
      <c r="X38" s="7">
        <v>17022</v>
      </c>
      <c r="Y38" s="4">
        <f t="shared" si="31"/>
        <v>6338</v>
      </c>
      <c r="Z38" s="14">
        <v>23360</v>
      </c>
      <c r="AA38" s="5">
        <f t="shared" si="32"/>
        <v>0.99616204690831556</v>
      </c>
      <c r="AB38" s="8">
        <v>35915</v>
      </c>
      <c r="AC38" s="7">
        <v>27137</v>
      </c>
      <c r="AD38" s="4">
        <f t="shared" si="33"/>
        <v>9124</v>
      </c>
      <c r="AE38" s="14">
        <v>36261</v>
      </c>
      <c r="AF38" s="5">
        <f t="shared" si="34"/>
        <v>1.0096338577196158</v>
      </c>
      <c r="AG38" s="8">
        <v>23414</v>
      </c>
      <c r="AH38" s="7">
        <v>17672</v>
      </c>
      <c r="AI38" s="4">
        <f t="shared" si="35"/>
        <v>5986</v>
      </c>
      <c r="AJ38" s="14">
        <v>23658</v>
      </c>
      <c r="AK38" s="5">
        <f t="shared" si="36"/>
        <v>1.0104211155718801</v>
      </c>
      <c r="AL38" s="8">
        <v>23927</v>
      </c>
      <c r="AM38" s="7">
        <v>18045</v>
      </c>
      <c r="AN38" s="4">
        <f t="shared" si="37"/>
        <v>5867</v>
      </c>
      <c r="AO38" s="14">
        <v>23912</v>
      </c>
      <c r="AP38" s="5">
        <f t="shared" si="38"/>
        <v>0.99937309315835665</v>
      </c>
      <c r="AQ38" s="8">
        <v>36551</v>
      </c>
      <c r="AR38" s="7">
        <v>28314</v>
      </c>
      <c r="AS38" s="4">
        <f t="shared" si="39"/>
        <v>8712</v>
      </c>
      <c r="AT38" s="14">
        <v>37026</v>
      </c>
      <c r="AU38" s="5">
        <f t="shared" si="40"/>
        <v>1.0129955404776887</v>
      </c>
      <c r="AV38" s="8">
        <v>23833</v>
      </c>
      <c r="AW38" s="7">
        <v>18593</v>
      </c>
      <c r="AX38" s="4">
        <f t="shared" si="41"/>
        <v>5567</v>
      </c>
      <c r="AY38" s="14">
        <v>24160</v>
      </c>
      <c r="AZ38" s="5">
        <f t="shared" si="42"/>
        <v>1.0137204716149877</v>
      </c>
      <c r="BA38" s="8">
        <v>24292</v>
      </c>
      <c r="BB38" s="7">
        <v>19106</v>
      </c>
      <c r="BC38" s="4">
        <f t="shared" si="43"/>
        <v>5292</v>
      </c>
      <c r="BD38" s="14">
        <v>24398</v>
      </c>
      <c r="BE38" s="5">
        <f t="shared" si="44"/>
        <v>1.0043635764860859</v>
      </c>
      <c r="BF38" s="8">
        <v>37393</v>
      </c>
      <c r="BG38" s="7">
        <v>27236</v>
      </c>
      <c r="BH38" s="4">
        <f t="shared" si="45"/>
        <v>10282</v>
      </c>
      <c r="BI38" s="14">
        <v>37518</v>
      </c>
      <c r="BJ38" s="5">
        <f t="shared" si="46"/>
        <v>1.0033428716604713</v>
      </c>
    </row>
    <row r="39" spans="1:62" x14ac:dyDescent="0.3">
      <c r="A39" s="19">
        <v>31</v>
      </c>
      <c r="B39" s="3" t="s">
        <v>35</v>
      </c>
      <c r="C39" s="8">
        <v>184</v>
      </c>
      <c r="D39" s="7">
        <v>127</v>
      </c>
      <c r="E39" s="4">
        <f t="shared" si="0"/>
        <v>59</v>
      </c>
      <c r="F39" s="14">
        <v>186</v>
      </c>
      <c r="G39" s="5">
        <f t="shared" si="24"/>
        <v>1.0108695652173914</v>
      </c>
      <c r="H39" s="8">
        <v>185</v>
      </c>
      <c r="I39" s="7">
        <v>131</v>
      </c>
      <c r="J39" s="4">
        <f t="shared" si="25"/>
        <v>57</v>
      </c>
      <c r="K39" s="14">
        <v>188</v>
      </c>
      <c r="L39" s="5">
        <f t="shared" si="26"/>
        <v>1.0162162162162163</v>
      </c>
      <c r="M39" s="8">
        <v>225</v>
      </c>
      <c r="N39" s="7">
        <v>171</v>
      </c>
      <c r="O39" s="4">
        <f t="shared" si="27"/>
        <v>57</v>
      </c>
      <c r="P39" s="14">
        <v>228</v>
      </c>
      <c r="Q39" s="5">
        <f t="shared" si="28"/>
        <v>1.0133333333333334</v>
      </c>
      <c r="R39" s="8">
        <v>185</v>
      </c>
      <c r="S39" s="7">
        <v>139</v>
      </c>
      <c r="T39" s="4">
        <f t="shared" si="29"/>
        <v>50</v>
      </c>
      <c r="U39" s="14">
        <v>189</v>
      </c>
      <c r="V39" s="5">
        <f t="shared" si="30"/>
        <v>1.0216216216216216</v>
      </c>
      <c r="W39" s="8">
        <v>190</v>
      </c>
      <c r="X39" s="7">
        <v>139</v>
      </c>
      <c r="Y39" s="4">
        <f t="shared" si="31"/>
        <v>53</v>
      </c>
      <c r="Z39" s="14">
        <v>192</v>
      </c>
      <c r="AA39" s="5">
        <f t="shared" si="32"/>
        <v>1.0105263157894737</v>
      </c>
      <c r="AB39" s="8">
        <v>229</v>
      </c>
      <c r="AC39" s="7">
        <v>176</v>
      </c>
      <c r="AD39" s="4">
        <f t="shared" si="33"/>
        <v>55</v>
      </c>
      <c r="AE39" s="14">
        <v>231</v>
      </c>
      <c r="AF39" s="5">
        <f t="shared" si="34"/>
        <v>1.0087336244541485</v>
      </c>
      <c r="AG39" s="8">
        <v>192</v>
      </c>
      <c r="AH39" s="7">
        <v>136</v>
      </c>
      <c r="AI39" s="4">
        <f t="shared" si="35"/>
        <v>52</v>
      </c>
      <c r="AJ39" s="14">
        <v>188</v>
      </c>
      <c r="AK39" s="5">
        <f t="shared" si="36"/>
        <v>0.97916666666666663</v>
      </c>
      <c r="AL39" s="8">
        <v>193</v>
      </c>
      <c r="AM39" s="7">
        <v>148</v>
      </c>
      <c r="AN39" s="4">
        <f t="shared" si="37"/>
        <v>46</v>
      </c>
      <c r="AO39" s="14">
        <v>194</v>
      </c>
      <c r="AP39" s="5">
        <f t="shared" si="38"/>
        <v>1.0051813471502591</v>
      </c>
      <c r="AQ39" s="8">
        <v>241</v>
      </c>
      <c r="AR39" s="7">
        <v>183</v>
      </c>
      <c r="AS39" s="4">
        <f t="shared" si="39"/>
        <v>58</v>
      </c>
      <c r="AT39" s="14">
        <v>241</v>
      </c>
      <c r="AU39" s="5">
        <f t="shared" si="40"/>
        <v>1</v>
      </c>
      <c r="AV39" s="8">
        <v>200</v>
      </c>
      <c r="AW39" s="7">
        <v>160</v>
      </c>
      <c r="AX39" s="4">
        <f t="shared" si="41"/>
        <v>39</v>
      </c>
      <c r="AY39" s="14">
        <v>199</v>
      </c>
      <c r="AZ39" s="5">
        <f t="shared" si="42"/>
        <v>0.995</v>
      </c>
      <c r="BA39" s="8">
        <v>207</v>
      </c>
      <c r="BB39" s="7">
        <v>165</v>
      </c>
      <c r="BC39" s="4">
        <f t="shared" si="43"/>
        <v>38</v>
      </c>
      <c r="BD39" s="14">
        <v>203</v>
      </c>
      <c r="BE39" s="5">
        <f t="shared" si="44"/>
        <v>0.98067632850241548</v>
      </c>
      <c r="BF39" s="8">
        <v>257</v>
      </c>
      <c r="BG39" s="7">
        <v>188</v>
      </c>
      <c r="BH39" s="4">
        <f t="shared" si="45"/>
        <v>63</v>
      </c>
      <c r="BI39" s="14">
        <v>251</v>
      </c>
      <c r="BJ39" s="5">
        <f t="shared" si="46"/>
        <v>0.97665369649805445</v>
      </c>
    </row>
    <row r="40" spans="1:62" x14ac:dyDescent="0.3">
      <c r="A40" s="19">
        <v>32</v>
      </c>
      <c r="B40" s="3" t="s">
        <v>36</v>
      </c>
      <c r="C40" s="8">
        <v>277722</v>
      </c>
      <c r="D40" s="7">
        <v>217117</v>
      </c>
      <c r="E40" s="4">
        <f t="shared" si="0"/>
        <v>58548</v>
      </c>
      <c r="F40" s="14">
        <v>275665</v>
      </c>
      <c r="G40" s="5">
        <f t="shared" si="24"/>
        <v>0.99259331273719764</v>
      </c>
      <c r="H40" s="8">
        <v>279588</v>
      </c>
      <c r="I40" s="7">
        <v>220747</v>
      </c>
      <c r="J40" s="4">
        <f t="shared" si="25"/>
        <v>56579</v>
      </c>
      <c r="K40" s="14">
        <v>277326</v>
      </c>
      <c r="L40" s="5">
        <f t="shared" si="26"/>
        <v>0.9919095240139062</v>
      </c>
      <c r="M40" s="8">
        <v>339205</v>
      </c>
      <c r="N40" s="7">
        <v>264859</v>
      </c>
      <c r="O40" s="4">
        <f t="shared" si="27"/>
        <v>71916</v>
      </c>
      <c r="P40" s="14">
        <v>336775</v>
      </c>
      <c r="Q40" s="5">
        <f t="shared" si="28"/>
        <v>0.9928361905042673</v>
      </c>
      <c r="R40" s="8">
        <v>280405</v>
      </c>
      <c r="S40" s="7">
        <v>216873</v>
      </c>
      <c r="T40" s="4">
        <f t="shared" si="29"/>
        <v>61796</v>
      </c>
      <c r="U40" s="14">
        <v>278669</v>
      </c>
      <c r="V40" s="5">
        <f t="shared" si="30"/>
        <v>0.99380895490451315</v>
      </c>
      <c r="W40" s="8">
        <v>283529</v>
      </c>
      <c r="X40" s="7">
        <v>223158</v>
      </c>
      <c r="Y40" s="4">
        <f t="shared" si="31"/>
        <v>57410</v>
      </c>
      <c r="Z40" s="14">
        <v>280568</v>
      </c>
      <c r="AA40" s="5">
        <f t="shared" si="32"/>
        <v>0.98955662383742049</v>
      </c>
      <c r="AB40" s="8">
        <v>342699</v>
      </c>
      <c r="AC40" s="7">
        <v>267439</v>
      </c>
      <c r="AD40" s="4">
        <f t="shared" si="33"/>
        <v>73587</v>
      </c>
      <c r="AE40" s="14">
        <v>341026</v>
      </c>
      <c r="AF40" s="5">
        <f t="shared" si="34"/>
        <v>0.99511816492023608</v>
      </c>
      <c r="AG40" s="8">
        <v>284836</v>
      </c>
      <c r="AH40" s="7">
        <v>222092</v>
      </c>
      <c r="AI40" s="4">
        <f t="shared" si="35"/>
        <v>61184</v>
      </c>
      <c r="AJ40" s="14">
        <v>283276</v>
      </c>
      <c r="AK40" s="5">
        <f t="shared" si="36"/>
        <v>0.99452316420677167</v>
      </c>
      <c r="AL40" s="8">
        <v>287465</v>
      </c>
      <c r="AM40" s="7">
        <v>227867</v>
      </c>
      <c r="AN40" s="4">
        <f t="shared" si="37"/>
        <v>57494</v>
      </c>
      <c r="AO40" s="14">
        <v>285361</v>
      </c>
      <c r="AP40" s="5">
        <f t="shared" si="38"/>
        <v>0.9926808481032473</v>
      </c>
      <c r="AQ40" s="8">
        <v>346543</v>
      </c>
      <c r="AR40" s="7">
        <v>276490</v>
      </c>
      <c r="AS40" s="4">
        <f t="shared" si="39"/>
        <v>69267</v>
      </c>
      <c r="AT40" s="14">
        <v>345757</v>
      </c>
      <c r="AU40" s="5">
        <f t="shared" si="40"/>
        <v>0.99773188320064177</v>
      </c>
      <c r="AV40" s="8">
        <v>288959</v>
      </c>
      <c r="AW40" s="7">
        <v>227306</v>
      </c>
      <c r="AX40" s="4">
        <f t="shared" si="41"/>
        <v>60272</v>
      </c>
      <c r="AY40" s="14">
        <v>287578</v>
      </c>
      <c r="AZ40" s="5">
        <f t="shared" si="42"/>
        <v>0.99522077526569508</v>
      </c>
      <c r="BA40" s="8">
        <v>291465</v>
      </c>
      <c r="BB40" s="7">
        <v>232847</v>
      </c>
      <c r="BC40" s="4">
        <f t="shared" si="43"/>
        <v>55877</v>
      </c>
      <c r="BD40" s="14">
        <v>288724</v>
      </c>
      <c r="BE40" s="5">
        <f t="shared" si="44"/>
        <v>0.99059578337021603</v>
      </c>
      <c r="BF40" s="8">
        <v>351557</v>
      </c>
      <c r="BG40" s="7">
        <v>263592</v>
      </c>
      <c r="BH40" s="4">
        <f t="shared" si="45"/>
        <v>85032</v>
      </c>
      <c r="BI40" s="14">
        <v>348624</v>
      </c>
      <c r="BJ40" s="5">
        <f t="shared" si="46"/>
        <v>0.99165711392462674</v>
      </c>
    </row>
    <row r="41" spans="1:62" x14ac:dyDescent="0.3">
      <c r="A41" s="19">
        <v>33</v>
      </c>
      <c r="B41" s="3" t="s">
        <v>37</v>
      </c>
      <c r="C41" s="8">
        <v>912114</v>
      </c>
      <c r="D41" s="7">
        <v>761287</v>
      </c>
      <c r="E41" s="4">
        <f t="shared" si="0"/>
        <v>143303</v>
      </c>
      <c r="F41" s="14">
        <v>904590</v>
      </c>
      <c r="G41" s="5">
        <f t="shared" si="24"/>
        <v>0.99175103112110985</v>
      </c>
      <c r="H41" s="8">
        <v>920596</v>
      </c>
      <c r="I41" s="7">
        <v>770694</v>
      </c>
      <c r="J41" s="4">
        <f t="shared" si="25"/>
        <v>138909</v>
      </c>
      <c r="K41" s="14">
        <v>909603</v>
      </c>
      <c r="L41" s="5">
        <f t="shared" si="26"/>
        <v>0.98805882276264512</v>
      </c>
      <c r="M41" s="8">
        <v>1028922</v>
      </c>
      <c r="N41" s="7">
        <v>860137</v>
      </c>
      <c r="O41" s="4">
        <f t="shared" si="27"/>
        <v>156452</v>
      </c>
      <c r="P41" s="14">
        <v>1016589</v>
      </c>
      <c r="Q41" s="5">
        <f t="shared" si="28"/>
        <v>0.98801366867459339</v>
      </c>
      <c r="R41" s="8">
        <v>924082</v>
      </c>
      <c r="S41" s="7">
        <v>756869</v>
      </c>
      <c r="T41" s="4">
        <f t="shared" si="29"/>
        <v>157384</v>
      </c>
      <c r="U41" s="14">
        <v>914253</v>
      </c>
      <c r="V41" s="5">
        <f t="shared" si="30"/>
        <v>0.98936349804454582</v>
      </c>
      <c r="W41" s="8">
        <v>929406</v>
      </c>
      <c r="X41" s="7">
        <v>771903</v>
      </c>
      <c r="Y41" s="4">
        <f t="shared" si="31"/>
        <v>146120</v>
      </c>
      <c r="Z41" s="14">
        <v>918023</v>
      </c>
      <c r="AA41" s="5">
        <f t="shared" si="32"/>
        <v>0.98775239238825663</v>
      </c>
      <c r="AB41" s="8">
        <v>1036539</v>
      </c>
      <c r="AC41" s="7">
        <v>859358</v>
      </c>
      <c r="AD41" s="4">
        <f t="shared" si="33"/>
        <v>166340</v>
      </c>
      <c r="AE41" s="14">
        <v>1025698</v>
      </c>
      <c r="AF41" s="5">
        <f t="shared" si="34"/>
        <v>0.98954115571145895</v>
      </c>
      <c r="AG41" s="8">
        <v>935526</v>
      </c>
      <c r="AH41" s="7">
        <v>774463</v>
      </c>
      <c r="AI41" s="4">
        <f t="shared" si="35"/>
        <v>150340</v>
      </c>
      <c r="AJ41" s="14">
        <v>924803</v>
      </c>
      <c r="AK41" s="5">
        <f t="shared" si="36"/>
        <v>0.98853799894390959</v>
      </c>
      <c r="AL41" s="8">
        <v>940174</v>
      </c>
      <c r="AM41" s="7">
        <v>786206</v>
      </c>
      <c r="AN41" s="4">
        <f t="shared" si="37"/>
        <v>143058</v>
      </c>
      <c r="AO41" s="14">
        <v>929264</v>
      </c>
      <c r="AP41" s="5">
        <f t="shared" si="38"/>
        <v>0.98839576503923743</v>
      </c>
      <c r="AQ41" s="8">
        <v>1046219</v>
      </c>
      <c r="AR41" s="7">
        <v>871887</v>
      </c>
      <c r="AS41" s="4">
        <f t="shared" si="39"/>
        <v>165420</v>
      </c>
      <c r="AT41" s="14">
        <v>1037307</v>
      </c>
      <c r="AU41" s="5">
        <f t="shared" si="40"/>
        <v>0.99148170698486648</v>
      </c>
      <c r="AV41" s="8">
        <v>945246</v>
      </c>
      <c r="AW41" s="7">
        <v>797710</v>
      </c>
      <c r="AX41" s="4">
        <f t="shared" si="41"/>
        <v>138560</v>
      </c>
      <c r="AY41" s="14">
        <v>936270</v>
      </c>
      <c r="AZ41" s="5">
        <f t="shared" si="42"/>
        <v>0.9905040592607639</v>
      </c>
      <c r="BA41" s="8">
        <v>950318</v>
      </c>
      <c r="BB41" s="7">
        <v>805805</v>
      </c>
      <c r="BC41" s="4">
        <f t="shared" si="43"/>
        <v>134061</v>
      </c>
      <c r="BD41" s="14">
        <v>939866</v>
      </c>
      <c r="BE41" s="5">
        <f t="shared" si="44"/>
        <v>0.98900157631445473</v>
      </c>
      <c r="BF41" s="8">
        <v>1056723</v>
      </c>
      <c r="BG41" s="7">
        <v>847976</v>
      </c>
      <c r="BH41" s="4">
        <f t="shared" si="45"/>
        <v>199208</v>
      </c>
      <c r="BI41" s="14">
        <v>1047184</v>
      </c>
      <c r="BJ41" s="5">
        <f t="shared" si="46"/>
        <v>0.99097303645326162</v>
      </c>
    </row>
    <row r="42" spans="1:62" x14ac:dyDescent="0.3">
      <c r="A42" s="19">
        <v>34</v>
      </c>
      <c r="B42" s="3" t="s">
        <v>38</v>
      </c>
      <c r="C42" s="8">
        <v>18445</v>
      </c>
      <c r="D42" s="7">
        <v>14555</v>
      </c>
      <c r="E42" s="4">
        <f t="shared" si="0"/>
        <v>3672</v>
      </c>
      <c r="F42" s="14">
        <v>18227</v>
      </c>
      <c r="G42" s="5">
        <f t="shared" si="24"/>
        <v>0.9881810788831662</v>
      </c>
      <c r="H42" s="8">
        <v>18615</v>
      </c>
      <c r="I42" s="7">
        <v>14675</v>
      </c>
      <c r="J42" s="4">
        <f t="shared" si="25"/>
        <v>3659</v>
      </c>
      <c r="K42" s="14">
        <v>18334</v>
      </c>
      <c r="L42" s="5">
        <f t="shared" si="26"/>
        <v>0.98490464679022294</v>
      </c>
      <c r="M42" s="8">
        <v>20702</v>
      </c>
      <c r="N42" s="7">
        <v>16283</v>
      </c>
      <c r="O42" s="4">
        <f t="shared" si="27"/>
        <v>4075</v>
      </c>
      <c r="P42" s="14">
        <v>20358</v>
      </c>
      <c r="Q42" s="5">
        <f t="shared" si="28"/>
        <v>0.98338324799536281</v>
      </c>
      <c r="R42" s="8">
        <v>18543</v>
      </c>
      <c r="S42" s="7">
        <v>14217</v>
      </c>
      <c r="T42" s="4">
        <f t="shared" si="29"/>
        <v>4113</v>
      </c>
      <c r="U42" s="14">
        <v>18330</v>
      </c>
      <c r="V42" s="5">
        <f t="shared" si="30"/>
        <v>0.98851318556867818</v>
      </c>
      <c r="W42" s="8">
        <v>18720</v>
      </c>
      <c r="X42" s="7">
        <v>14496</v>
      </c>
      <c r="Y42" s="4">
        <f t="shared" si="31"/>
        <v>3881</v>
      </c>
      <c r="Z42" s="14">
        <v>18377</v>
      </c>
      <c r="AA42" s="5">
        <f t="shared" si="32"/>
        <v>0.98167735042735038</v>
      </c>
      <c r="AB42" s="8">
        <v>20718</v>
      </c>
      <c r="AC42" s="7">
        <v>15953</v>
      </c>
      <c r="AD42" s="4">
        <f t="shared" si="33"/>
        <v>4358</v>
      </c>
      <c r="AE42" s="14">
        <v>20311</v>
      </c>
      <c r="AF42" s="5">
        <f t="shared" si="34"/>
        <v>0.98035524664542906</v>
      </c>
      <c r="AG42" s="8">
        <v>18665</v>
      </c>
      <c r="AH42" s="7">
        <v>14564</v>
      </c>
      <c r="AI42" s="4">
        <f t="shared" si="35"/>
        <v>3825</v>
      </c>
      <c r="AJ42" s="14">
        <v>18389</v>
      </c>
      <c r="AK42" s="5">
        <f t="shared" si="36"/>
        <v>0.98521296544334314</v>
      </c>
      <c r="AL42" s="8">
        <v>18792</v>
      </c>
      <c r="AM42" s="7">
        <v>15082</v>
      </c>
      <c r="AN42" s="4">
        <f t="shared" si="37"/>
        <v>3428</v>
      </c>
      <c r="AO42" s="14">
        <v>18510</v>
      </c>
      <c r="AP42" s="5">
        <f t="shared" si="38"/>
        <v>0.98499361430395915</v>
      </c>
      <c r="AQ42" s="8">
        <v>20796</v>
      </c>
      <c r="AR42" s="7">
        <v>16318</v>
      </c>
      <c r="AS42" s="4">
        <f t="shared" si="39"/>
        <v>4231</v>
      </c>
      <c r="AT42" s="14">
        <v>20549</v>
      </c>
      <c r="AU42" s="5">
        <f t="shared" si="40"/>
        <v>0.98812271590690515</v>
      </c>
      <c r="AV42" s="8">
        <v>18829</v>
      </c>
      <c r="AW42" s="7">
        <v>14915</v>
      </c>
      <c r="AX42" s="4">
        <f t="shared" si="41"/>
        <v>3671</v>
      </c>
      <c r="AY42" s="14">
        <v>18586</v>
      </c>
      <c r="AZ42" s="5">
        <f t="shared" si="42"/>
        <v>0.98709437569706304</v>
      </c>
      <c r="BA42" s="8">
        <v>18938</v>
      </c>
      <c r="BB42" s="7">
        <v>15182</v>
      </c>
      <c r="BC42" s="4">
        <f t="shared" si="43"/>
        <v>3509</v>
      </c>
      <c r="BD42" s="14">
        <v>18691</v>
      </c>
      <c r="BE42" s="5">
        <f t="shared" si="44"/>
        <v>0.98695744006758901</v>
      </c>
      <c r="BF42" s="8">
        <v>21042</v>
      </c>
      <c r="BG42" s="7">
        <v>15930</v>
      </c>
      <c r="BH42" s="4">
        <f t="shared" si="45"/>
        <v>4844</v>
      </c>
      <c r="BI42" s="14">
        <v>20774</v>
      </c>
      <c r="BJ42" s="5">
        <f t="shared" si="46"/>
        <v>0.98726356810189142</v>
      </c>
    </row>
    <row r="43" spans="1:62" x14ac:dyDescent="0.3">
      <c r="A43" s="19">
        <v>35</v>
      </c>
      <c r="B43" s="3" t="s">
        <v>39</v>
      </c>
      <c r="C43" s="8">
        <v>3455</v>
      </c>
      <c r="D43" s="7">
        <v>2297</v>
      </c>
      <c r="E43" s="4">
        <f t="shared" si="0"/>
        <v>1155</v>
      </c>
      <c r="F43" s="14">
        <v>3452</v>
      </c>
      <c r="G43" s="5">
        <f t="shared" si="24"/>
        <v>0.99913169319826334</v>
      </c>
      <c r="H43" s="8">
        <v>3541</v>
      </c>
      <c r="I43" s="7">
        <v>2331</v>
      </c>
      <c r="J43" s="4">
        <f t="shared" si="25"/>
        <v>1144</v>
      </c>
      <c r="K43" s="14">
        <v>3475</v>
      </c>
      <c r="L43" s="5">
        <f t="shared" si="26"/>
        <v>0.98136119740186389</v>
      </c>
      <c r="M43" s="8">
        <v>4395</v>
      </c>
      <c r="N43" s="7">
        <v>2954</v>
      </c>
      <c r="O43" s="4">
        <f t="shared" si="27"/>
        <v>1384</v>
      </c>
      <c r="P43" s="14">
        <v>4338</v>
      </c>
      <c r="Q43" s="5">
        <f t="shared" si="28"/>
        <v>0.98703071672354947</v>
      </c>
      <c r="R43" s="8">
        <v>3498</v>
      </c>
      <c r="S43" s="7">
        <v>2296</v>
      </c>
      <c r="T43" s="4">
        <f t="shared" si="29"/>
        <v>1190</v>
      </c>
      <c r="U43" s="14">
        <v>3486</v>
      </c>
      <c r="V43" s="5">
        <f t="shared" si="30"/>
        <v>0.99656946826758153</v>
      </c>
      <c r="W43" s="8">
        <v>3551</v>
      </c>
      <c r="X43" s="7">
        <v>2355</v>
      </c>
      <c r="Y43" s="4">
        <f t="shared" si="31"/>
        <v>1158</v>
      </c>
      <c r="Z43" s="14">
        <v>3513</v>
      </c>
      <c r="AA43" s="5">
        <f t="shared" si="32"/>
        <v>0.98929878907350044</v>
      </c>
      <c r="AB43" s="8">
        <v>4429</v>
      </c>
      <c r="AC43" s="7">
        <v>2983</v>
      </c>
      <c r="AD43" s="4">
        <f t="shared" si="33"/>
        <v>1397</v>
      </c>
      <c r="AE43" s="14">
        <v>4380</v>
      </c>
      <c r="AF43" s="5">
        <f t="shared" si="34"/>
        <v>0.98893655452698126</v>
      </c>
      <c r="AG43" s="8">
        <v>3560</v>
      </c>
      <c r="AH43" s="7">
        <v>2373</v>
      </c>
      <c r="AI43" s="4">
        <f t="shared" si="35"/>
        <v>1173</v>
      </c>
      <c r="AJ43" s="14">
        <v>3546</v>
      </c>
      <c r="AK43" s="5">
        <f t="shared" si="36"/>
        <v>0.99606741573033708</v>
      </c>
      <c r="AL43" s="8">
        <v>3588</v>
      </c>
      <c r="AM43" s="7">
        <v>2490</v>
      </c>
      <c r="AN43" s="4">
        <f t="shared" si="37"/>
        <v>1093</v>
      </c>
      <c r="AO43" s="14">
        <v>3583</v>
      </c>
      <c r="AP43" s="5">
        <f t="shared" si="38"/>
        <v>0.99860646599777037</v>
      </c>
      <c r="AQ43" s="8">
        <v>4449</v>
      </c>
      <c r="AR43" s="7">
        <v>3117</v>
      </c>
      <c r="AS43" s="4">
        <f t="shared" si="39"/>
        <v>1346</v>
      </c>
      <c r="AT43" s="14">
        <v>4463</v>
      </c>
      <c r="AU43" s="5">
        <f t="shared" si="40"/>
        <v>1.00314677455608</v>
      </c>
      <c r="AV43" s="8">
        <v>3616</v>
      </c>
      <c r="AW43" s="7">
        <v>2581</v>
      </c>
      <c r="AX43" s="4">
        <f t="shared" si="41"/>
        <v>1053</v>
      </c>
      <c r="AY43" s="14">
        <v>3634</v>
      </c>
      <c r="AZ43" s="5">
        <f t="shared" si="42"/>
        <v>1.0049778761061947</v>
      </c>
      <c r="BA43" s="8">
        <v>3655</v>
      </c>
      <c r="BB43" s="7">
        <v>2613</v>
      </c>
      <c r="BC43" s="4">
        <f t="shared" si="43"/>
        <v>1034</v>
      </c>
      <c r="BD43" s="14">
        <v>3647</v>
      </c>
      <c r="BE43" s="5">
        <f t="shared" si="44"/>
        <v>0.99781121751025992</v>
      </c>
      <c r="BF43" s="8">
        <v>4544</v>
      </c>
      <c r="BG43" s="7">
        <v>2851</v>
      </c>
      <c r="BH43" s="4">
        <f t="shared" si="45"/>
        <v>1686</v>
      </c>
      <c r="BI43" s="14">
        <v>4537</v>
      </c>
      <c r="BJ43" s="5">
        <f t="shared" si="46"/>
        <v>0.9984595070422535</v>
      </c>
    </row>
    <row r="44" spans="1:62" x14ac:dyDescent="0.3">
      <c r="A44" s="19">
        <v>36</v>
      </c>
      <c r="B44" s="3" t="s">
        <v>40</v>
      </c>
      <c r="C44" s="8">
        <v>336228</v>
      </c>
      <c r="D44" s="7">
        <v>256701</v>
      </c>
      <c r="E44" s="4">
        <f t="shared" si="0"/>
        <v>76594</v>
      </c>
      <c r="F44" s="14">
        <v>333295</v>
      </c>
      <c r="G44" s="5">
        <f t="shared" si="24"/>
        <v>0.99127675267972926</v>
      </c>
      <c r="H44" s="8">
        <v>340996</v>
      </c>
      <c r="I44" s="7">
        <v>261613</v>
      </c>
      <c r="J44" s="4">
        <f t="shared" si="25"/>
        <v>75638</v>
      </c>
      <c r="K44" s="14">
        <v>337251</v>
      </c>
      <c r="L44" s="5">
        <f t="shared" si="26"/>
        <v>0.98901746648054523</v>
      </c>
      <c r="M44" s="8">
        <v>408512</v>
      </c>
      <c r="N44" s="7">
        <v>316711</v>
      </c>
      <c r="O44" s="4">
        <f t="shared" si="27"/>
        <v>87246</v>
      </c>
      <c r="P44" s="14">
        <v>403957</v>
      </c>
      <c r="Q44" s="5">
        <f t="shared" si="28"/>
        <v>0.98884977675074415</v>
      </c>
      <c r="R44" s="8">
        <v>342556</v>
      </c>
      <c r="S44" s="7">
        <v>259088</v>
      </c>
      <c r="T44" s="4">
        <f t="shared" si="29"/>
        <v>80265</v>
      </c>
      <c r="U44" s="14">
        <v>339353</v>
      </c>
      <c r="V44" s="5">
        <f t="shared" si="30"/>
        <v>0.99064970399000452</v>
      </c>
      <c r="W44" s="8">
        <v>347597</v>
      </c>
      <c r="X44" s="7">
        <v>264143</v>
      </c>
      <c r="Y44" s="4">
        <f t="shared" si="31"/>
        <v>78978</v>
      </c>
      <c r="Z44" s="14">
        <v>343121</v>
      </c>
      <c r="AA44" s="5">
        <f t="shared" si="32"/>
        <v>0.98712301889832188</v>
      </c>
      <c r="AB44" s="8">
        <v>416340</v>
      </c>
      <c r="AC44" s="7">
        <v>320300</v>
      </c>
      <c r="AD44" s="4">
        <f t="shared" si="33"/>
        <v>92007</v>
      </c>
      <c r="AE44" s="14">
        <v>412307</v>
      </c>
      <c r="AF44" s="5">
        <f t="shared" si="34"/>
        <v>0.99031320555315372</v>
      </c>
      <c r="AG44" s="8">
        <v>350469</v>
      </c>
      <c r="AH44" s="7">
        <v>267772</v>
      </c>
      <c r="AI44" s="4">
        <f t="shared" si="35"/>
        <v>79518</v>
      </c>
      <c r="AJ44" s="14">
        <v>347290</v>
      </c>
      <c r="AK44" s="5">
        <f t="shared" si="36"/>
        <v>0.99092929759836101</v>
      </c>
      <c r="AL44" s="8">
        <v>355186</v>
      </c>
      <c r="AM44" s="7">
        <v>278281</v>
      </c>
      <c r="AN44" s="4">
        <f t="shared" si="37"/>
        <v>72476</v>
      </c>
      <c r="AO44" s="14">
        <v>350757</v>
      </c>
      <c r="AP44" s="5">
        <f t="shared" si="38"/>
        <v>0.98753047698952101</v>
      </c>
      <c r="AQ44" s="8">
        <v>424208</v>
      </c>
      <c r="AR44" s="7">
        <v>335236</v>
      </c>
      <c r="AS44" s="4">
        <f t="shared" si="39"/>
        <v>85649</v>
      </c>
      <c r="AT44" s="14">
        <v>420885</v>
      </c>
      <c r="AU44" s="5">
        <f t="shared" si="40"/>
        <v>0.99216657865952551</v>
      </c>
      <c r="AV44" s="8">
        <v>358114</v>
      </c>
      <c r="AW44" s="7">
        <v>282115</v>
      </c>
      <c r="AX44" s="4">
        <f t="shared" si="41"/>
        <v>72243</v>
      </c>
      <c r="AY44" s="14">
        <v>354358</v>
      </c>
      <c r="AZ44" s="5">
        <f t="shared" si="42"/>
        <v>0.9895117197317056</v>
      </c>
      <c r="BA44" s="8">
        <v>361984</v>
      </c>
      <c r="BB44" s="7">
        <v>286188</v>
      </c>
      <c r="BC44" s="4">
        <f t="shared" si="43"/>
        <v>71129</v>
      </c>
      <c r="BD44" s="14">
        <v>357317</v>
      </c>
      <c r="BE44" s="5">
        <f t="shared" si="44"/>
        <v>0.98710716495756723</v>
      </c>
      <c r="BF44" s="8">
        <v>432310</v>
      </c>
      <c r="BG44" s="7">
        <v>320177</v>
      </c>
      <c r="BH44" s="4">
        <f t="shared" si="45"/>
        <v>106760</v>
      </c>
      <c r="BI44" s="14">
        <v>426937</v>
      </c>
      <c r="BJ44" s="5">
        <f t="shared" si="46"/>
        <v>0.98757141865790754</v>
      </c>
    </row>
    <row r="45" spans="1:62" x14ac:dyDescent="0.3">
      <c r="A45" s="19">
        <v>37</v>
      </c>
      <c r="B45" s="3" t="s">
        <v>41</v>
      </c>
      <c r="C45" s="8">
        <v>255558</v>
      </c>
      <c r="D45" s="7">
        <v>198994</v>
      </c>
      <c r="E45" s="4">
        <f t="shared" si="0"/>
        <v>52285</v>
      </c>
      <c r="F45" s="14">
        <v>251279</v>
      </c>
      <c r="G45" s="5">
        <f t="shared" si="24"/>
        <v>0.98325624711415804</v>
      </c>
      <c r="H45" s="8">
        <v>257610</v>
      </c>
      <c r="I45" s="7">
        <v>203383</v>
      </c>
      <c r="J45" s="4">
        <f t="shared" si="25"/>
        <v>49770</v>
      </c>
      <c r="K45" s="14">
        <v>253153</v>
      </c>
      <c r="L45" s="5">
        <f t="shared" si="26"/>
        <v>0.98269865300260084</v>
      </c>
      <c r="M45" s="8">
        <v>310366</v>
      </c>
      <c r="N45" s="7">
        <v>245272</v>
      </c>
      <c r="O45" s="4">
        <f t="shared" si="27"/>
        <v>59511</v>
      </c>
      <c r="P45" s="14">
        <v>304783</v>
      </c>
      <c r="Q45" s="5">
        <f t="shared" si="28"/>
        <v>0.98201156054464733</v>
      </c>
      <c r="R45" s="8">
        <v>257356</v>
      </c>
      <c r="S45" s="7">
        <v>200421</v>
      </c>
      <c r="T45" s="4">
        <f t="shared" si="29"/>
        <v>53271</v>
      </c>
      <c r="U45" s="14">
        <v>253692</v>
      </c>
      <c r="V45" s="5">
        <f t="shared" si="30"/>
        <v>0.98576291207510214</v>
      </c>
      <c r="W45" s="8">
        <v>260553</v>
      </c>
      <c r="X45" s="7">
        <v>200344</v>
      </c>
      <c r="Y45" s="4">
        <f t="shared" si="31"/>
        <v>55307</v>
      </c>
      <c r="Z45" s="14">
        <v>255651</v>
      </c>
      <c r="AA45" s="5">
        <f t="shared" si="32"/>
        <v>0.98118616941658698</v>
      </c>
      <c r="AB45" s="8">
        <v>313911</v>
      </c>
      <c r="AC45" s="7">
        <v>243407</v>
      </c>
      <c r="AD45" s="4">
        <f t="shared" si="33"/>
        <v>64980</v>
      </c>
      <c r="AE45" s="14">
        <v>308387</v>
      </c>
      <c r="AF45" s="5">
        <f t="shared" si="34"/>
        <v>0.98240265552975203</v>
      </c>
      <c r="AG45" s="8">
        <v>261210</v>
      </c>
      <c r="AH45" s="7">
        <v>203330</v>
      </c>
      <c r="AI45" s="4">
        <f t="shared" si="35"/>
        <v>53700</v>
      </c>
      <c r="AJ45" s="14">
        <v>257030</v>
      </c>
      <c r="AK45" s="5">
        <f t="shared" si="36"/>
        <v>0.98399754986409405</v>
      </c>
      <c r="AL45" s="8">
        <v>264020</v>
      </c>
      <c r="AM45" s="7">
        <v>210409</v>
      </c>
      <c r="AN45" s="4">
        <f t="shared" si="37"/>
        <v>48935</v>
      </c>
      <c r="AO45" s="14">
        <v>259344</v>
      </c>
      <c r="AP45" s="5">
        <f t="shared" si="38"/>
        <v>0.98228922051359746</v>
      </c>
      <c r="AQ45" s="8">
        <v>317407</v>
      </c>
      <c r="AR45" s="7">
        <v>248190</v>
      </c>
      <c r="AS45" s="4">
        <f t="shared" si="39"/>
        <v>63233</v>
      </c>
      <c r="AT45" s="14">
        <v>311423</v>
      </c>
      <c r="AU45" s="5">
        <f t="shared" si="40"/>
        <v>0.98114723367789625</v>
      </c>
      <c r="AV45" s="8">
        <v>263886</v>
      </c>
      <c r="AW45" s="7">
        <v>208426</v>
      </c>
      <c r="AX45" s="4">
        <f t="shared" si="41"/>
        <v>51063</v>
      </c>
      <c r="AY45" s="14">
        <v>259489</v>
      </c>
      <c r="AZ45" s="5">
        <f t="shared" si="42"/>
        <v>0.98333750180001966</v>
      </c>
      <c r="BA45" s="8">
        <v>265781</v>
      </c>
      <c r="BB45" s="7">
        <v>211688</v>
      </c>
      <c r="BC45" s="4">
        <f t="shared" si="43"/>
        <v>49510</v>
      </c>
      <c r="BD45" s="14">
        <v>261198</v>
      </c>
      <c r="BE45" s="5">
        <f t="shared" si="44"/>
        <v>0.98275647995906401</v>
      </c>
      <c r="BF45" s="8">
        <v>319799</v>
      </c>
      <c r="BG45" s="7">
        <v>234809</v>
      </c>
      <c r="BH45" s="4">
        <f t="shared" si="45"/>
        <v>79661</v>
      </c>
      <c r="BI45" s="14">
        <v>314470</v>
      </c>
      <c r="BJ45" s="5">
        <f t="shared" si="46"/>
        <v>0.9833364081813889</v>
      </c>
    </row>
    <row r="46" spans="1:62" x14ac:dyDescent="0.3">
      <c r="A46" s="19">
        <v>38</v>
      </c>
      <c r="B46" s="3" t="s">
        <v>42</v>
      </c>
      <c r="C46" s="8">
        <v>2214</v>
      </c>
      <c r="D46" s="7">
        <v>1599</v>
      </c>
      <c r="E46" s="4">
        <f t="shared" si="0"/>
        <v>772</v>
      </c>
      <c r="F46" s="14">
        <v>2371</v>
      </c>
      <c r="G46" s="5">
        <f t="shared" si="24"/>
        <v>1.0709123757904246</v>
      </c>
      <c r="H46" s="8">
        <v>2377</v>
      </c>
      <c r="I46" s="7">
        <v>1693</v>
      </c>
      <c r="J46" s="4">
        <f t="shared" si="25"/>
        <v>823</v>
      </c>
      <c r="K46" s="14">
        <v>2516</v>
      </c>
      <c r="L46" s="5">
        <f t="shared" si="26"/>
        <v>1.0584770719394194</v>
      </c>
      <c r="M46" s="8">
        <v>6689</v>
      </c>
      <c r="N46" s="7">
        <v>4965</v>
      </c>
      <c r="O46" s="4">
        <f t="shared" si="27"/>
        <v>1902</v>
      </c>
      <c r="P46" s="14">
        <v>6867</v>
      </c>
      <c r="Q46" s="5">
        <f t="shared" si="28"/>
        <v>1.0266108536403049</v>
      </c>
      <c r="R46" s="8">
        <v>2186</v>
      </c>
      <c r="S46" s="7">
        <v>1465</v>
      </c>
      <c r="T46" s="4">
        <f t="shared" si="29"/>
        <v>877</v>
      </c>
      <c r="U46" s="14">
        <v>2342</v>
      </c>
      <c r="V46" s="5">
        <f t="shared" si="30"/>
        <v>1.0713632204940531</v>
      </c>
      <c r="W46" s="8">
        <v>2396</v>
      </c>
      <c r="X46" s="7">
        <v>1588</v>
      </c>
      <c r="Y46" s="4">
        <f t="shared" si="31"/>
        <v>867</v>
      </c>
      <c r="Z46" s="14">
        <v>2455</v>
      </c>
      <c r="AA46" s="5">
        <f t="shared" si="32"/>
        <v>1.0246243739565943</v>
      </c>
      <c r="AB46" s="8">
        <v>6920</v>
      </c>
      <c r="AC46" s="7">
        <v>5103</v>
      </c>
      <c r="AD46" s="4">
        <f t="shared" si="33"/>
        <v>2051</v>
      </c>
      <c r="AE46" s="14">
        <v>7154</v>
      </c>
      <c r="AF46" s="5">
        <f t="shared" si="34"/>
        <v>1.033815028901734</v>
      </c>
      <c r="AG46" s="8">
        <v>2260</v>
      </c>
      <c r="AH46" s="7">
        <v>1548</v>
      </c>
      <c r="AI46" s="4">
        <f t="shared" si="35"/>
        <v>821</v>
      </c>
      <c r="AJ46" s="14">
        <v>2369</v>
      </c>
      <c r="AK46" s="5">
        <f t="shared" si="36"/>
        <v>1.0482300884955753</v>
      </c>
      <c r="AL46" s="8">
        <v>2436</v>
      </c>
      <c r="AM46" s="7">
        <v>1693</v>
      </c>
      <c r="AN46" s="4">
        <f t="shared" si="37"/>
        <v>767</v>
      </c>
      <c r="AO46" s="14">
        <v>2460</v>
      </c>
      <c r="AP46" s="5">
        <f t="shared" si="38"/>
        <v>1.0098522167487685</v>
      </c>
      <c r="AQ46" s="8">
        <v>7143</v>
      </c>
      <c r="AR46" s="7">
        <v>5632</v>
      </c>
      <c r="AS46" s="4">
        <f t="shared" si="39"/>
        <v>1722</v>
      </c>
      <c r="AT46" s="14">
        <v>7354</v>
      </c>
      <c r="AU46" s="5">
        <f t="shared" si="40"/>
        <v>1.0295394092118157</v>
      </c>
      <c r="AV46" s="8">
        <v>2225</v>
      </c>
      <c r="AW46" s="7">
        <v>1717</v>
      </c>
      <c r="AX46" s="4">
        <f t="shared" si="41"/>
        <v>647</v>
      </c>
      <c r="AY46" s="14">
        <v>2364</v>
      </c>
      <c r="AZ46" s="5">
        <f t="shared" si="42"/>
        <v>1.0624719101123596</v>
      </c>
      <c r="BA46" s="8">
        <v>2388</v>
      </c>
      <c r="BB46" s="7">
        <v>1804</v>
      </c>
      <c r="BC46" s="4">
        <f t="shared" si="43"/>
        <v>625</v>
      </c>
      <c r="BD46" s="14">
        <v>2429</v>
      </c>
      <c r="BE46" s="5">
        <f t="shared" si="44"/>
        <v>1.0171691792294808</v>
      </c>
      <c r="BF46" s="8">
        <v>7407</v>
      </c>
      <c r="BG46" s="7">
        <v>5758</v>
      </c>
      <c r="BH46" s="4">
        <f t="shared" si="45"/>
        <v>1787</v>
      </c>
      <c r="BI46" s="14">
        <v>7545</v>
      </c>
      <c r="BJ46" s="5">
        <f t="shared" si="46"/>
        <v>1.0186310247063588</v>
      </c>
    </row>
    <row r="47" spans="1:62" x14ac:dyDescent="0.3">
      <c r="A47" s="19">
        <v>97</v>
      </c>
      <c r="B47" s="3" t="s">
        <v>43</v>
      </c>
      <c r="C47" s="8">
        <v>84</v>
      </c>
      <c r="D47" s="7">
        <v>65</v>
      </c>
      <c r="E47" s="4">
        <f t="shared" si="0"/>
        <v>3</v>
      </c>
      <c r="F47" s="14">
        <v>68</v>
      </c>
      <c r="G47" s="5">
        <f t="shared" si="24"/>
        <v>0.80952380952380953</v>
      </c>
      <c r="H47" s="8">
        <v>81</v>
      </c>
      <c r="I47" s="7">
        <v>61</v>
      </c>
      <c r="J47" s="4">
        <f t="shared" si="25"/>
        <v>7</v>
      </c>
      <c r="K47" s="14">
        <v>68</v>
      </c>
      <c r="L47" s="5">
        <f t="shared" si="26"/>
        <v>0.83950617283950613</v>
      </c>
      <c r="M47" s="8">
        <v>86</v>
      </c>
      <c r="N47" s="7">
        <v>68</v>
      </c>
      <c r="O47" s="4">
        <f t="shared" si="27"/>
        <v>6</v>
      </c>
      <c r="P47" s="14">
        <v>74</v>
      </c>
      <c r="Q47" s="5">
        <f t="shared" si="28"/>
        <v>0.86046511627906974</v>
      </c>
      <c r="R47" s="8">
        <v>80</v>
      </c>
      <c r="S47" s="7">
        <v>61</v>
      </c>
      <c r="T47" s="4">
        <f t="shared" si="29"/>
        <v>6</v>
      </c>
      <c r="U47" s="14">
        <v>67</v>
      </c>
      <c r="V47" s="5">
        <f t="shared" si="30"/>
        <v>0.83750000000000002</v>
      </c>
      <c r="W47" s="8">
        <v>81</v>
      </c>
      <c r="X47" s="7">
        <v>62</v>
      </c>
      <c r="Y47" s="4">
        <f t="shared" si="31"/>
        <v>5</v>
      </c>
      <c r="Z47" s="14">
        <v>67</v>
      </c>
      <c r="AA47" s="5">
        <f t="shared" si="32"/>
        <v>0.8271604938271605</v>
      </c>
      <c r="AB47" s="8">
        <v>87</v>
      </c>
      <c r="AC47" s="7">
        <v>66</v>
      </c>
      <c r="AD47" s="4">
        <f t="shared" si="33"/>
        <v>7</v>
      </c>
      <c r="AE47" s="14">
        <v>73</v>
      </c>
      <c r="AF47" s="5">
        <f t="shared" si="34"/>
        <v>0.83908045977011492</v>
      </c>
      <c r="AG47" s="8">
        <v>81</v>
      </c>
      <c r="AH47" s="7">
        <v>58</v>
      </c>
      <c r="AI47" s="4">
        <f t="shared" si="35"/>
        <v>8</v>
      </c>
      <c r="AJ47" s="14">
        <v>66</v>
      </c>
      <c r="AK47" s="5">
        <f t="shared" si="36"/>
        <v>0.81481481481481477</v>
      </c>
      <c r="AL47" s="8">
        <v>81</v>
      </c>
      <c r="AM47" s="7">
        <v>63</v>
      </c>
      <c r="AN47" s="4">
        <f t="shared" si="37"/>
        <v>3</v>
      </c>
      <c r="AO47" s="14">
        <v>66</v>
      </c>
      <c r="AP47" s="5">
        <f t="shared" si="38"/>
        <v>0.81481481481481477</v>
      </c>
      <c r="AQ47" s="8">
        <v>87</v>
      </c>
      <c r="AR47" s="7">
        <v>67</v>
      </c>
      <c r="AS47" s="4">
        <f t="shared" si="39"/>
        <v>3</v>
      </c>
      <c r="AT47" s="14">
        <v>70</v>
      </c>
      <c r="AU47" s="5">
        <f t="shared" si="40"/>
        <v>0.8045977011494253</v>
      </c>
      <c r="AV47" s="8">
        <v>81</v>
      </c>
      <c r="AW47" s="7">
        <v>61</v>
      </c>
      <c r="AX47" s="4">
        <f t="shared" si="41"/>
        <v>5</v>
      </c>
      <c r="AY47" s="14">
        <v>66</v>
      </c>
      <c r="AZ47" s="5">
        <f t="shared" si="42"/>
        <v>0.81481481481481477</v>
      </c>
      <c r="BA47" s="8">
        <v>80</v>
      </c>
      <c r="BB47" s="7">
        <v>63</v>
      </c>
      <c r="BC47" s="4">
        <f t="shared" si="43"/>
        <v>2</v>
      </c>
      <c r="BD47" s="14">
        <v>65</v>
      </c>
      <c r="BE47" s="5">
        <f t="shared" si="44"/>
        <v>0.8125</v>
      </c>
      <c r="BF47" s="8">
        <v>85</v>
      </c>
      <c r="BG47" s="7">
        <v>65</v>
      </c>
      <c r="BH47" s="4">
        <f t="shared" si="45"/>
        <v>4</v>
      </c>
      <c r="BI47" s="14">
        <v>69</v>
      </c>
      <c r="BJ47" s="5">
        <f t="shared" si="46"/>
        <v>0.81176470588235294</v>
      </c>
    </row>
    <row r="48" spans="1:62" x14ac:dyDescent="0.3">
      <c r="A48" s="24" t="s">
        <v>44</v>
      </c>
      <c r="B48" s="24"/>
      <c r="C48" s="10">
        <f>SUM(C10:C47)</f>
        <v>7712416</v>
      </c>
      <c r="D48" s="10">
        <f>SUM(D10:D47)</f>
        <v>6227695</v>
      </c>
      <c r="E48" s="12">
        <f t="shared" ref="E48" si="47">F48-D48</f>
        <v>1449219</v>
      </c>
      <c r="F48" s="11">
        <f>SUM(F10:F47)</f>
        <v>7676914</v>
      </c>
      <c r="G48" s="13">
        <f t="shared" ref="G48" si="48">F48/C48</f>
        <v>0.99539677320310527</v>
      </c>
      <c r="H48" s="10">
        <f>SUM(H10:H47)</f>
        <v>7867344</v>
      </c>
      <c r="I48" s="10">
        <f>SUM(I10:I47)</f>
        <v>6356635</v>
      </c>
      <c r="J48" s="12">
        <f t="shared" si="25"/>
        <v>1415501</v>
      </c>
      <c r="K48" s="11">
        <f>SUM(K10:K47)</f>
        <v>7772136</v>
      </c>
      <c r="L48" s="13">
        <f t="shared" si="26"/>
        <v>0.98789833010988204</v>
      </c>
      <c r="M48" s="10">
        <f>SUM(M10:M47)</f>
        <v>12152252</v>
      </c>
      <c r="N48" s="10">
        <f>SUM(N10:N47)</f>
        <v>9857057</v>
      </c>
      <c r="O48" s="12">
        <f t="shared" si="27"/>
        <v>2191685</v>
      </c>
      <c r="P48" s="11">
        <f>SUM(P10:P47)</f>
        <v>12048742</v>
      </c>
      <c r="Q48" s="13">
        <f t="shared" si="28"/>
        <v>0.99148223720179596</v>
      </c>
      <c r="R48" s="10">
        <f>SUM(R10:R47)</f>
        <v>7805893</v>
      </c>
      <c r="S48" s="10">
        <f>SUM(S10:S47)</f>
        <v>6254452</v>
      </c>
      <c r="T48" s="12">
        <f t="shared" ref="T48" si="49">U48-S48</f>
        <v>1488209</v>
      </c>
      <c r="U48" s="11">
        <f>SUM(U10:U47)</f>
        <v>7742661</v>
      </c>
      <c r="V48" s="13">
        <f t="shared" si="30"/>
        <v>0.99189945340014274</v>
      </c>
      <c r="W48" s="10">
        <f>SUM(W10:W47)</f>
        <v>7947831</v>
      </c>
      <c r="X48" s="10">
        <f>SUM(X10:X47)</f>
        <v>6343444</v>
      </c>
      <c r="Y48" s="12">
        <f t="shared" si="31"/>
        <v>1483652</v>
      </c>
      <c r="Z48" s="11">
        <f>SUM(Z10:Z47)</f>
        <v>7827096</v>
      </c>
      <c r="AA48" s="13">
        <f t="shared" si="32"/>
        <v>0.98480906300096216</v>
      </c>
      <c r="AB48" s="10">
        <f>SUM(AB10:AB47)</f>
        <v>12284179</v>
      </c>
      <c r="AC48" s="10">
        <f>SUM(AC10:AC47)</f>
        <v>9866847</v>
      </c>
      <c r="AD48" s="12">
        <f t="shared" si="33"/>
        <v>2327261</v>
      </c>
      <c r="AE48" s="11">
        <f>SUM(AE10:AE47)</f>
        <v>12194108</v>
      </c>
      <c r="AF48" s="13">
        <f t="shared" si="34"/>
        <v>0.99266772325606778</v>
      </c>
      <c r="AG48" s="10">
        <f>SUM(AG10:AG47)</f>
        <v>7934386</v>
      </c>
      <c r="AH48" s="10">
        <f>SUM(AH10:AH47)</f>
        <v>6266178</v>
      </c>
      <c r="AI48" s="12">
        <f t="shared" si="35"/>
        <v>1607491</v>
      </c>
      <c r="AJ48" s="11">
        <f>SUM(AJ10:AJ47)</f>
        <v>7873669</v>
      </c>
      <c r="AK48" s="13">
        <f t="shared" si="36"/>
        <v>0.99234761202694199</v>
      </c>
      <c r="AL48" s="10">
        <f>SUM(AL10:AL47)</f>
        <v>8078477</v>
      </c>
      <c r="AM48" s="10">
        <f>SUM(AM10:AM47)</f>
        <v>6574379</v>
      </c>
      <c r="AN48" s="12">
        <f t="shared" si="37"/>
        <v>1381367</v>
      </c>
      <c r="AO48" s="11">
        <f>SUM(AO10:AO47)</f>
        <v>7955746</v>
      </c>
      <c r="AP48" s="13">
        <f t="shared" si="38"/>
        <v>0.9848076561955923</v>
      </c>
      <c r="AQ48" s="10">
        <f>SUM(AQ10:AQ47)</f>
        <v>12445246</v>
      </c>
      <c r="AR48" s="10">
        <f>SUM(AR10:AR47)</f>
        <v>10248717</v>
      </c>
      <c r="AS48" s="12">
        <f t="shared" si="39"/>
        <v>2136896</v>
      </c>
      <c r="AT48" s="11">
        <f>SUM(AT10:AT47)</f>
        <v>12385613</v>
      </c>
      <c r="AU48" s="13">
        <f t="shared" si="40"/>
        <v>0.99520837113223792</v>
      </c>
      <c r="AV48" s="10">
        <f>SUM(AV10:AV47)</f>
        <v>8061336</v>
      </c>
      <c r="AW48" s="10">
        <f>SUM(AW10:AW47)</f>
        <v>6641215</v>
      </c>
      <c r="AX48" s="12">
        <f t="shared" si="41"/>
        <v>1371144</v>
      </c>
      <c r="AY48" s="11">
        <f>SUM(AY10:AY47)</f>
        <v>8012359</v>
      </c>
      <c r="AZ48" s="13">
        <f t="shared" si="42"/>
        <v>0.99392445619435787</v>
      </c>
      <c r="BA48" s="10">
        <f>SUM(BA10:BA47)</f>
        <v>8202455</v>
      </c>
      <c r="BB48" s="10">
        <f>SUM(BB10:BB47)</f>
        <v>6777178</v>
      </c>
      <c r="BC48" s="12">
        <f t="shared" si="43"/>
        <v>1319217</v>
      </c>
      <c r="BD48" s="11">
        <f>SUM(BD10:BD47)</f>
        <v>8096395</v>
      </c>
      <c r="BE48" s="13">
        <f t="shared" si="44"/>
        <v>0.98706972485676547</v>
      </c>
      <c r="BF48" s="10">
        <f>SUM(BF10:BF47)</f>
        <v>12656060</v>
      </c>
      <c r="BG48" s="10">
        <f>SUM(BG10:BG47)</f>
        <v>9846481</v>
      </c>
      <c r="BH48" s="12">
        <f t="shared" si="45"/>
        <v>2706325</v>
      </c>
      <c r="BI48" s="11">
        <f>SUM(BI10:BI47)</f>
        <v>12552806</v>
      </c>
      <c r="BJ48" s="13">
        <f t="shared" si="46"/>
        <v>0.99184153678158926</v>
      </c>
    </row>
    <row r="49" spans="1:7" x14ac:dyDescent="0.3">
      <c r="A49" s="1"/>
      <c r="B49" s="1"/>
      <c r="C49" s="1"/>
      <c r="D49" s="1"/>
      <c r="E49" s="1"/>
      <c r="F49" s="1"/>
      <c r="G49" s="1"/>
    </row>
    <row r="50" spans="1:7" x14ac:dyDescent="0.3">
      <c r="A50" s="1"/>
      <c r="B50" s="1"/>
      <c r="C50" s="1"/>
      <c r="D50" s="1"/>
      <c r="E50" s="1"/>
      <c r="F50" s="1"/>
      <c r="G50" s="1"/>
    </row>
    <row r="51" spans="1:7" x14ac:dyDescent="0.3">
      <c r="A51" s="1"/>
      <c r="B51" s="1"/>
      <c r="C51" s="1"/>
      <c r="D51" s="1"/>
      <c r="E51" s="1"/>
      <c r="F51" s="1"/>
      <c r="G51" s="1"/>
    </row>
    <row r="52" spans="1:7" x14ac:dyDescent="0.3">
      <c r="A52" s="1"/>
      <c r="B52" s="1"/>
      <c r="C52" s="1"/>
      <c r="D52" s="1"/>
      <c r="E52" s="1"/>
      <c r="F52" s="1"/>
      <c r="G52" s="1"/>
    </row>
    <row r="53" spans="1:7" x14ac:dyDescent="0.3">
      <c r="A53" s="1"/>
      <c r="B53" s="1"/>
      <c r="C53" s="1"/>
      <c r="D53" s="1"/>
      <c r="E53" s="1"/>
      <c r="F53" s="1"/>
      <c r="G53" s="1"/>
    </row>
    <row r="54" spans="1:7" x14ac:dyDescent="0.3">
      <c r="A54" s="1"/>
      <c r="B54" s="1"/>
      <c r="C54" s="1"/>
      <c r="D54" s="1"/>
      <c r="E54" s="1"/>
      <c r="F54" s="1"/>
      <c r="G54" s="1"/>
    </row>
    <row r="55" spans="1:7" x14ac:dyDescent="0.3">
      <c r="A55" s="23" t="s">
        <v>45</v>
      </c>
      <c r="B55" s="23"/>
      <c r="C55" s="23"/>
      <c r="D55" s="23"/>
      <c r="E55" s="23"/>
      <c r="F55" s="6"/>
      <c r="G55" s="1"/>
    </row>
  </sheetData>
  <mergeCells count="19">
    <mergeCell ref="A3:B3"/>
    <mergeCell ref="A5:C5"/>
    <mergeCell ref="A1:D1"/>
    <mergeCell ref="AV8:AZ8"/>
    <mergeCell ref="BA8:BE8"/>
    <mergeCell ref="BF8:BJ8"/>
    <mergeCell ref="A55:E55"/>
    <mergeCell ref="A48:B48"/>
    <mergeCell ref="A8:A9"/>
    <mergeCell ref="B8:B9"/>
    <mergeCell ref="C8:G8"/>
    <mergeCell ref="AQ8:AU8"/>
    <mergeCell ref="AB8:AF8"/>
    <mergeCell ref="R8:V8"/>
    <mergeCell ref="AL8:AP8"/>
    <mergeCell ref="H8:L8"/>
    <mergeCell ref="M8:Q8"/>
    <mergeCell ref="W8:AA8"/>
    <mergeCell ref="AG8:AK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GSTR-3B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Mandal</dc:creator>
  <cp:lastModifiedBy>Krishan Pal Singh</cp:lastModifiedBy>
  <dcterms:created xsi:type="dcterms:W3CDTF">2021-12-17T09:07:06Z</dcterms:created>
  <dcterms:modified xsi:type="dcterms:W3CDTF">2026-02-13T07:40:56Z</dcterms:modified>
</cp:coreProperties>
</file>